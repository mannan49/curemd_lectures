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n.abdullah\Downloads\"/>
    </mc:Choice>
  </mc:AlternateContent>
  <xr:revisionPtr revIDLastSave="0" documentId="8_{C580BC00-736D-415C-9E34-750BB412E70B}" xr6:coauthVersionLast="36" xr6:coauthVersionMax="36" xr10:uidLastSave="{00000000-0000-0000-0000-000000000000}"/>
  <bookViews>
    <workbookView xWindow="0" yWindow="0" windowWidth="23040" windowHeight="9780" activeTab="2" xr2:uid="{8283CF75-96A7-45E0-A585-C4D103225F17}"/>
  </bookViews>
  <sheets>
    <sheet name="SP dates" sheetId="10" r:id="rId1"/>
    <sheet name="Schedule with Links" sheetId="12" r:id="rId2"/>
    <sheet name="SP schedule" sheetId="11" r:id="rId3"/>
  </sheets>
  <definedNames>
    <definedName name="_xlnm._FilterDatabase" localSheetId="1" hidden="1">'Schedule with Links'!$A$2:$I$89</definedName>
    <definedName name="_xlnm._FilterDatabase" localSheetId="2" hidden="1">'SP schedule'!$A$1:$H$77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1" l="1"/>
  <c r="F51" i="11"/>
  <c r="F2" i="11"/>
  <c r="F23" i="11" l="1"/>
  <c r="H37" i="11"/>
  <c r="F74" i="11" l="1"/>
  <c r="F75" i="11"/>
  <c r="F76" i="11"/>
  <c r="F70" i="11" l="1"/>
  <c r="F42" i="11"/>
  <c r="F35" i="11"/>
  <c r="H58" i="11"/>
  <c r="H64" i="11"/>
  <c r="H62" i="11"/>
  <c r="H15" i="11" l="1"/>
  <c r="F15" i="11" s="1"/>
  <c r="H65" i="11" l="1"/>
  <c r="H59" i="11"/>
  <c r="F58" i="11" s="1"/>
  <c r="H63" i="11"/>
  <c r="F63" i="11" s="1"/>
  <c r="G79" i="12"/>
  <c r="F79" i="12"/>
  <c r="E79" i="12"/>
  <c r="H30" i="11"/>
  <c r="F30" i="11" s="1"/>
  <c r="F62" i="11" l="1"/>
  <c r="F64" i="11"/>
  <c r="G62" i="12"/>
  <c r="F62" i="12"/>
  <c r="E62" i="12"/>
  <c r="F17" i="12" l="1"/>
  <c r="F34" i="12"/>
  <c r="F47" i="12"/>
  <c r="F86" i="12"/>
  <c r="G47" i="12"/>
  <c r="E47" i="12"/>
  <c r="H49" i="11"/>
  <c r="F49" i="11" s="1"/>
  <c r="H50" i="11"/>
  <c r="F50" i="11" s="1"/>
  <c r="G86" i="12"/>
  <c r="H57" i="11"/>
  <c r="F57" i="11" s="1"/>
  <c r="H56" i="11"/>
  <c r="F56" i="11" s="1"/>
  <c r="H9" i="11"/>
  <c r="F8" i="11" s="1"/>
  <c r="E86" i="12"/>
  <c r="G34" i="12"/>
  <c r="E34" i="12"/>
  <c r="G17" i="12"/>
  <c r="E17" i="12"/>
  <c r="G11" i="12"/>
  <c r="E11" i="12"/>
  <c r="F6" i="12"/>
  <c r="F5" i="12"/>
  <c r="F7" i="10"/>
  <c r="F8" i="10"/>
  <c r="F9" i="10"/>
  <c r="F10" i="10"/>
  <c r="F11" i="10"/>
  <c r="F12" i="10"/>
  <c r="F13" i="10"/>
  <c r="F14" i="10"/>
  <c r="F15" i="10"/>
  <c r="F16" i="10"/>
  <c r="H2" i="11"/>
  <c r="F11" i="12" l="1"/>
</calcChain>
</file>

<file path=xl/sharedStrings.xml><?xml version="1.0" encoding="utf-8"?>
<sst xmlns="http://schemas.openxmlformats.org/spreadsheetml/2006/main" count="513" uniqueCount="261">
  <si>
    <t xml:space="preserve">Sr.# </t>
  </si>
  <si>
    <t>Cluster</t>
  </si>
  <si>
    <t>Programs</t>
  </si>
  <si>
    <t>Courses</t>
  </si>
  <si>
    <t>Link</t>
  </si>
  <si>
    <t>Programming in Python</t>
  </si>
  <si>
    <t>Python Object Oriented Programming (OOP): Beginner to Pro</t>
  </si>
  <si>
    <t>https://www.udemy.com/course/object-oriented-programming-with-modern-python/</t>
  </si>
  <si>
    <t>Python Mega Course: Build 20 Apps</t>
  </si>
  <si>
    <t>https://www.udemy.com/course/the-python-mega-course/</t>
  </si>
  <si>
    <t>Data Structures and Algorithms Specialization</t>
  </si>
  <si>
    <t>https://www.coursera.org/specializations/data-structures-algorithms</t>
  </si>
  <si>
    <t xml:space="preserve">Introduction to Linux &amp; AI </t>
  </si>
  <si>
    <t>Introduction to Linux</t>
  </si>
  <si>
    <t>Instructor Led</t>
  </si>
  <si>
    <t>Real Time AI systems design &amp; development</t>
  </si>
  <si>
    <t>Mathematics for AI</t>
  </si>
  <si>
    <t>Mathematics for Machine Learning Specialization (i)</t>
  </si>
  <si>
    <t xml:space="preserve">
Linear Algebra</t>
  </si>
  <si>
    <t>https://www.coursera.org/specializations/mathematics-machine-learning</t>
  </si>
  <si>
    <t>Multivariate Calculus</t>
  </si>
  <si>
    <t>PCA</t>
  </si>
  <si>
    <t>Mathematics for Machine Learning Specialization (ii)</t>
  </si>
  <si>
    <t>Probability &amp; Statistics for Machine Learning &amp; Data Science</t>
  </si>
  <si>
    <t>https://www.coursera.org/learn/machine-learning-probability-and-statistics?specialization=mathematics-for-machine-learning-and-data-science</t>
  </si>
  <si>
    <t>Introduction to Mathematical thinking</t>
  </si>
  <si>
    <t>AI Foundation</t>
  </si>
  <si>
    <t>Introduction to Machine Learning in Production</t>
  </si>
  <si>
    <t>Introduction to AI</t>
  </si>
  <si>
    <t>https://www.myworkday.com/curemd/learning/program/97d6f3eb2de21000adce6e418fb50000?type=2d29754fdb8e100008b50ff6bc94003b</t>
  </si>
  <si>
    <t>Performance evaluation of AI/ ML systems</t>
  </si>
  <si>
    <t>AI Depth Specialization</t>
  </si>
  <si>
    <t>AI/ML (Advanced Machine Learning specialization by HSE) + Coursera</t>
  </si>
  <si>
    <t>Online CureMD Network</t>
  </si>
  <si>
    <t>Bayesian Methods for Machine Learning (hse)</t>
  </si>
  <si>
    <t>Natural Language Processing (hse)</t>
  </si>
  <si>
    <t>Deep Learning in Computer Vision (Hse)</t>
  </si>
  <si>
    <t>Practical Reinforcement Learning (hse)</t>
  </si>
  <si>
    <t>Applied Data Science with Python Specialization</t>
  </si>
  <si>
    <t>Introduction to Data Science in Python</t>
  </si>
  <si>
    <t>https://www.coursera.org/specializations/data-science-python</t>
  </si>
  <si>
    <t>Applied Plotting, Charting &amp; Data Representation in Python</t>
  </si>
  <si>
    <t>Applied Machine Learning in Python</t>
  </si>
  <si>
    <t>Applied Text Mining in Python</t>
  </si>
  <si>
    <t>Applied Social Network Analysis in Python</t>
  </si>
  <si>
    <t>Neo4j Fundamentals</t>
  </si>
  <si>
    <t>https://graphacademy.neo4j.com/</t>
  </si>
  <si>
    <t>Cypher Fundamentals</t>
  </si>
  <si>
    <t>Graph Data Modelling Fundamentals</t>
  </si>
  <si>
    <t>Importing CSV Data into Neo4j</t>
  </si>
  <si>
    <t>Cypher Indexes and Constraints </t>
  </si>
  <si>
    <t>Building Neo4j Applications with Python</t>
  </si>
  <si>
    <t>Introduction to Neo4j Graph Data Science </t>
  </si>
  <si>
    <t>Neo4j Graph Data Science Fundamentals </t>
  </si>
  <si>
    <t>Neural Networks and Deep Learning</t>
  </si>
  <si>
    <t>https://www.coursera.org/specializations/deep-learning?</t>
  </si>
  <si>
    <t>Improving Deep Neural Networks: Hyperparameter Tuning, Regularization and Optimization</t>
  </si>
  <si>
    <t>Structuring Machine Learning Projects</t>
  </si>
  <si>
    <t>Convolutional Neural Networks</t>
  </si>
  <si>
    <t>Sequence Models</t>
  </si>
  <si>
    <t>IBM Data Engineering Professional Certificate</t>
  </si>
  <si>
    <t>Introduction to Data Engineering</t>
  </si>
  <si>
    <t>https://www.coursera.org/professional-certificates/ibm-data-engineer#courses</t>
  </si>
  <si>
    <t>Python for Data Science, AI &amp; Development</t>
  </si>
  <si>
    <t>Python Project for Data Engineering</t>
  </si>
  <si>
    <t>Introduction to Relational Databases (RDBMS)</t>
  </si>
  <si>
    <t>Databases and SQL for Data Science with Python</t>
  </si>
  <si>
    <t>Hands-on Introduction to Linux Commands and Shell Scripting</t>
  </si>
  <si>
    <t>Relational Database Administration (DBA)</t>
  </si>
  <si>
    <t>ETL and Data Pipelines with Shell, Airflow and Kafka</t>
  </si>
  <si>
    <t>Getting Started with Data Warehousing and BI Analytics</t>
  </si>
  <si>
    <t>Introduction to NoSQL Databases</t>
  </si>
  <si>
    <t>Introduction to Big Data with Spark and Hadoop</t>
  </si>
  <si>
    <t>Data Engineering and Machine Learning using Spark</t>
  </si>
  <si>
    <t>Introduction to CureMD DataLake house</t>
  </si>
  <si>
    <t>Architecture</t>
  </si>
  <si>
    <t>https://www.myworkday.com/curemd/d/inst/1$23455/23455$140.htmld#TABINDEX=0&amp;SUBTABINDEX=0</t>
  </si>
  <si>
    <t>Installation</t>
  </si>
  <si>
    <t>Hands on</t>
  </si>
  <si>
    <t>Capstone project</t>
  </si>
  <si>
    <t>Research Methodology</t>
  </si>
  <si>
    <t>Capstone Project</t>
  </si>
  <si>
    <t>Self Project</t>
  </si>
  <si>
    <t>https://www.coursera.org/specializations/leadership-communication-engineers</t>
  </si>
  <si>
    <t>Study Plan</t>
  </si>
  <si>
    <t>From</t>
  </si>
  <si>
    <t>To</t>
  </si>
  <si>
    <t>Days</t>
  </si>
  <si>
    <t>SP 1</t>
  </si>
  <si>
    <t>SP 2</t>
  </si>
  <si>
    <t>SP 3</t>
  </si>
  <si>
    <t>SP 4</t>
  </si>
  <si>
    <t>SP 5</t>
  </si>
  <si>
    <t>SP 6</t>
  </si>
  <si>
    <t>SP 7</t>
  </si>
  <si>
    <t>SP 8</t>
  </si>
  <si>
    <t>SP 9</t>
  </si>
  <si>
    <t>SP 10</t>
  </si>
  <si>
    <t>SP 12</t>
  </si>
  <si>
    <t>9 Working Hours Plan</t>
  </si>
  <si>
    <t>Time: 9:30 AM - 8:30 PM</t>
  </si>
  <si>
    <t>Working Days</t>
  </si>
  <si>
    <t># of Hours</t>
  </si>
  <si>
    <t>Public Holiday</t>
  </si>
  <si>
    <t>1: 14-Aug</t>
  </si>
  <si>
    <t>SP 11</t>
  </si>
  <si>
    <t>Video Hours</t>
  </si>
  <si>
    <t>Total Hours</t>
  </si>
  <si>
    <t>CP</t>
  </si>
  <si>
    <t>Algorithmic Toolbox</t>
  </si>
  <si>
    <t>Data Structures</t>
  </si>
  <si>
    <t>Docker Course</t>
  </si>
  <si>
    <t>https://www.youtube.com/watch?v=zJ6WbK9zFpI</t>
  </si>
  <si>
    <t>TOTAL</t>
  </si>
  <si>
    <t> </t>
  </si>
  <si>
    <t>https://www.myworkday.com/curemd/learning/course/1c558585dacc011f6978b8a593018211?type=9882927d138b100019b928e75843018d</t>
  </si>
  <si>
    <t>AI Courses</t>
  </si>
  <si>
    <t>Generative AI with Large Language Models</t>
  </si>
  <si>
    <t>https://www.coursera.org/learn/generative-ai-with-llms</t>
  </si>
  <si>
    <t>Introduction to Deep Learning (hse)</t>
  </si>
  <si>
    <t>Total</t>
  </si>
  <si>
    <t>Knowledge Graph Course</t>
  </si>
  <si>
    <t>Communication Skills</t>
  </si>
  <si>
    <t>Oral Communication for Engineering Leaders</t>
  </si>
  <si>
    <t>Interpersonal Communication for Engineering Leaders</t>
  </si>
  <si>
    <t>Writing Skills for Engineering Leaders</t>
  </si>
  <si>
    <t>Personal Effectiveness</t>
  </si>
  <si>
    <t>Generative AI</t>
  </si>
  <si>
    <t>Course to be completed during SP</t>
  </si>
  <si>
    <t>Source</t>
  </si>
  <si>
    <t>Mode of course</t>
  </si>
  <si>
    <t>Total duration (hours)</t>
  </si>
  <si>
    <t>Weeks</t>
  </si>
  <si>
    <t>Hours</t>
  </si>
  <si>
    <t>SP1</t>
  </si>
  <si>
    <t>Udemy</t>
  </si>
  <si>
    <t>MOOCs</t>
  </si>
  <si>
    <t xml:space="preserve">Coursera </t>
  </si>
  <si>
    <t>Introduction to Linux - 1</t>
  </si>
  <si>
    <t>Saqlain</t>
  </si>
  <si>
    <t>20 Mega Applications in Python - 1</t>
  </si>
  <si>
    <t>Introduction to Mathematical thinking -1</t>
  </si>
  <si>
    <t>Dr Muddassar / Workday</t>
  </si>
  <si>
    <t>Personal Effectiveness - 1</t>
  </si>
  <si>
    <t>Introduction to AI - 1</t>
  </si>
  <si>
    <t>MIT course</t>
  </si>
  <si>
    <t>SP2</t>
  </si>
  <si>
    <r>
      <rPr>
        <b/>
        <sz val="11"/>
        <color rgb="FF000000"/>
        <rFont val="Calibri"/>
        <family val="2"/>
      </rPr>
      <t>Data Structures and Algorithms Specialization
Course 1:</t>
    </r>
    <r>
      <rPr>
        <sz val="11"/>
        <color rgb="FF000000"/>
        <rFont val="Calibri"/>
        <family val="2"/>
      </rPr>
      <t xml:space="preserve"> Algorithmic Toolbox </t>
    </r>
  </si>
  <si>
    <t>Introduction to Linux - 2</t>
  </si>
  <si>
    <t>Introduction to Mathematical thinking - 2</t>
  </si>
  <si>
    <t>Personal Effectiveness - 2</t>
  </si>
  <si>
    <t>Introduction to AI - 2</t>
  </si>
  <si>
    <t>SP3</t>
  </si>
  <si>
    <t>Real Time AI systems programming</t>
  </si>
  <si>
    <r>
      <rPr>
        <sz val="11"/>
        <color rgb="FF000000"/>
        <rFont val="Calibri"/>
        <family val="2"/>
      </rPr>
      <t xml:space="preserve">OOPs &amp; 20 mega application </t>
    </r>
    <r>
      <rPr>
        <b/>
        <sz val="11"/>
        <color rgb="FF000000"/>
        <rFont val="Calibri"/>
        <family val="2"/>
      </rPr>
      <t>project - 1</t>
    </r>
  </si>
  <si>
    <t>Self</t>
  </si>
  <si>
    <t>Project</t>
  </si>
  <si>
    <t>Introduction to AI - 3</t>
  </si>
  <si>
    <t>Personal Effectiveness - 3</t>
  </si>
  <si>
    <t>Introduction to Mathematical thinking -3</t>
  </si>
  <si>
    <t>SP4</t>
  </si>
  <si>
    <r>
      <rPr>
        <sz val="11"/>
        <color rgb="FF000000"/>
        <rFont val="Calibri"/>
        <family val="2"/>
      </rPr>
      <t>OOPs &amp; 20 mega application</t>
    </r>
    <r>
      <rPr>
        <b/>
        <sz val="11"/>
        <color rgb="FF000000"/>
        <rFont val="Calibri"/>
        <family val="2"/>
      </rPr>
      <t xml:space="preserve"> project - 2</t>
    </r>
  </si>
  <si>
    <t>Capstone</t>
  </si>
  <si>
    <t>Dr Amna Basharat</t>
  </si>
  <si>
    <t>Introduction to Mathematical thinking - 4</t>
  </si>
  <si>
    <t>Personal Effectiveness - 4</t>
  </si>
  <si>
    <t>Introduction to AI - 4</t>
  </si>
  <si>
    <t>IBM</t>
  </si>
  <si>
    <t>Bilal &amp; Ghina + Abdullah Hafeez</t>
  </si>
  <si>
    <t>Youtube / Instructor Led</t>
  </si>
  <si>
    <t>Introduction to Mathematical thinking - 5</t>
  </si>
  <si>
    <t>Personal Effectiveness - 5</t>
  </si>
  <si>
    <t>Introduction to AI - 5</t>
  </si>
  <si>
    <t>SP6</t>
  </si>
  <si>
    <t>Andrew</t>
  </si>
  <si>
    <t>Introduction to Mathematical thinking - 6</t>
  </si>
  <si>
    <t>Personal Effectiveness - 6</t>
  </si>
  <si>
    <t>Introduction to AI - 6</t>
  </si>
  <si>
    <t>SP7</t>
  </si>
  <si>
    <t>Usamah</t>
  </si>
  <si>
    <t>Personal Effectiveness - 7</t>
  </si>
  <si>
    <t>Introduction to Mathematical thinking - 7</t>
  </si>
  <si>
    <t>Introduction to AI - 7</t>
  </si>
  <si>
    <r>
      <rPr>
        <b/>
        <sz val="11"/>
        <color rgb="FF000000"/>
        <rFont val="Calibri"/>
        <family val="2"/>
      </rPr>
      <t xml:space="preserve">AI/ML (Advanced Machine Learning Specialization by HSE) + Deep Learning - 1
</t>
    </r>
    <r>
      <rPr>
        <sz val="11"/>
        <color rgb="FF000000"/>
        <rFont val="Calibri"/>
        <family val="2"/>
      </rPr>
      <t xml:space="preserve">Bayesian Methods for Machine Learning (hse)
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Natural Language Processing (hse)
Deep Learning in Computer Vision (Hse)
Practical Reinforcement Learning (hse)
Introduction to Deep Learning (hse)</t>
    </r>
  </si>
  <si>
    <r>
      <rPr>
        <b/>
        <sz val="11"/>
        <color rgb="FF000000"/>
        <rFont val="Calibri"/>
        <family val="2"/>
      </rPr>
      <t xml:space="preserve">IBM Data Engineering Professional Certificate -1
</t>
    </r>
    <r>
      <rPr>
        <sz val="11"/>
        <color rgb="FF000000"/>
        <rFont val="Calibri"/>
        <family val="2"/>
      </rPr>
      <t xml:space="preserve">Introduction to Data Engineering
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Python for Data Science, AI &amp; Development
Python Project for Data Engineering
Introduction to Relational Databases (RDBMS) 
Databases and SQL for Data Science with Python
Hands-on Introduction to Linux Commands and Shell Scripting
Relational Database Administration (DBA)</t>
    </r>
  </si>
  <si>
    <t>University of Michigan</t>
  </si>
  <si>
    <t>Introduction to Mathematical thinking - 8</t>
  </si>
  <si>
    <t>Personal Effectiveness - 8</t>
  </si>
  <si>
    <t>Introduction to AI - 8</t>
  </si>
  <si>
    <r>
      <rPr>
        <b/>
        <sz val="11"/>
        <color rgb="FF000000"/>
        <rFont val="Calibri"/>
        <family val="2"/>
      </rPr>
      <t xml:space="preserve">AI/ML (Advanced Machine Learning Specialization by HSE) + Deep Learning  - 2
</t>
    </r>
    <r>
      <rPr>
        <sz val="11"/>
        <color rgb="FF000000"/>
        <rFont val="Calibri"/>
        <family val="2"/>
      </rPr>
      <t xml:space="preserve">
Neural Networks and Deep Learning (Coursera)
Improving Deep Neural Networks: Hyperparameter Tuning, Regularization and Optimization (Coursera)
Structuring Machine Learning Projects (Coursera)</t>
    </r>
  </si>
  <si>
    <r>
      <rPr>
        <b/>
        <sz val="11"/>
        <color rgb="FF000000"/>
        <rFont val="Calibri"/>
        <family val="2"/>
      </rPr>
      <t xml:space="preserve">IBM Data Engineering Professional Certificate -2
</t>
    </r>
    <r>
      <rPr>
        <sz val="11"/>
        <color rgb="FF000000"/>
        <rFont val="Calibri"/>
        <family val="2"/>
      </rPr>
      <t xml:space="preserve">ETL and Data Pipelines with Shell, Airflow and Kafka
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Getting Started with Data Warehousing and BI Analytics
Introduction to NoSQL Databases
Introduction to Big Data with Spark and Hadoop
Data Engineering and Machine Learning using Spark
</t>
    </r>
    <r>
      <rPr>
        <b/>
        <sz val="11"/>
        <color rgb="FF000000"/>
        <rFont val="Calibri"/>
        <family val="2"/>
      </rPr>
      <t xml:space="preserve">Introduction to  DataLake house
</t>
    </r>
    <r>
      <rPr>
        <sz val="11"/>
        <color rgb="FF000000"/>
        <rFont val="Calibri"/>
        <family val="2"/>
      </rPr>
      <t xml:space="preserve">
Architecture</t>
    </r>
  </si>
  <si>
    <t>Stanford</t>
  </si>
  <si>
    <t>Personal Effectiveness - 9</t>
  </si>
  <si>
    <t>Capstone project - 1 (Applied Data Science with Python Specialization)</t>
  </si>
  <si>
    <t>Capstone project - 1 (Advanced Machine Learning Specialization by HSE + Deep Learning )</t>
  </si>
  <si>
    <t xml:space="preserve">Capstone Project - 1 (Big Data) </t>
  </si>
  <si>
    <t>Coursera</t>
  </si>
  <si>
    <t xml:space="preserve">Capstone Project - 2 (Big Data) </t>
  </si>
  <si>
    <t>Capstone project -2 (Advanced Machine Learning Specialization by HSE + Deep Learning )</t>
  </si>
  <si>
    <t>Capstone project - 2 (Applied Data Science with Python Specialization)</t>
  </si>
  <si>
    <t xml:space="preserve">Capstone Project - 3 (Big Data) </t>
  </si>
  <si>
    <t>Capstone project - 3 (Applied Data Science with Python Specialization)</t>
  </si>
  <si>
    <t>Capstone project -3 (Advanced Machine Learning Specialization by HSE + Deep Learning)</t>
  </si>
  <si>
    <t>Deep Unsupervised Learning (Berkeley)</t>
  </si>
  <si>
    <t>Language Models and Intelligent Agentic Systems (Cambridge)</t>
  </si>
  <si>
    <t>ChatGPT: Master Free AI Tools to Supercharge Productivity Specialization</t>
  </si>
  <si>
    <t>Programming for AI Systems</t>
  </si>
  <si>
    <t xml:space="preserve">
Prompt Engineering for ChatGPT</t>
  </si>
  <si>
    <t xml:space="preserve">
Advanced Prompt Engineering for Everyone</t>
  </si>
  <si>
    <t xml:space="preserve">
OpenAI GPTs: Creating Your Own Custom AI Assistants</t>
  </si>
  <si>
    <t>https://www.coursera.org/specializations/chatgpt-free-ai-tools-to-excel#courses</t>
  </si>
  <si>
    <t>AI in Healthcare Specialization</t>
  </si>
  <si>
    <t>Introduction to Healthcare</t>
  </si>
  <si>
    <t>https://www.coursera.org/specializations/ai-healthcare</t>
  </si>
  <si>
    <t>AI In Healthcare - 1</t>
  </si>
  <si>
    <t>Introduction to Clinical Data</t>
  </si>
  <si>
    <t>Fundamentals of Machine Learning for Healthcare</t>
  </si>
  <si>
    <t>Evaluations of AI Applications in Healthcare</t>
  </si>
  <si>
    <t>AI in Healthcare Capstone</t>
  </si>
  <si>
    <t>AI In Healthcare - 2</t>
  </si>
  <si>
    <t>Machine Learning Specialization</t>
  </si>
  <si>
    <t>Supervised Machine Learning: Regression and Classification</t>
  </si>
  <si>
    <t>Advanced Learning Algorithms</t>
  </si>
  <si>
    <t>Unsupervised Learning, Recommenders, Reinforcement Learning</t>
  </si>
  <si>
    <t>https://www.coursera.org/specializations/machine-learning-introduction</t>
  </si>
  <si>
    <r>
      <rPr>
        <b/>
        <sz val="11"/>
        <color rgb="FF000000"/>
        <rFont val="Calibri"/>
        <family val="2"/>
      </rPr>
      <t xml:space="preserve">Machine Learning Specialization
</t>
    </r>
    <r>
      <rPr>
        <sz val="11"/>
        <color rgb="FF000000"/>
        <rFont val="Calibri"/>
        <family val="2"/>
      </rPr>
      <t xml:space="preserve">
Unsupervised Learning, Recommenders, Reinforcement Learning</t>
    </r>
  </si>
  <si>
    <r>
      <rPr>
        <b/>
        <sz val="11"/>
        <color rgb="FF000000"/>
        <rFont val="Calibri"/>
        <family val="2"/>
      </rPr>
      <t xml:space="preserve">Machine Learning Specialization
</t>
    </r>
    <r>
      <rPr>
        <sz val="11"/>
        <color rgb="FF000000"/>
        <rFont val="Calibri"/>
        <family val="2"/>
      </rPr>
      <t xml:space="preserve">
Supervised Machine Learning: Regression and Classification
Advanced Learning Algorithms</t>
    </r>
  </si>
  <si>
    <t>Knowledge Graphs - Foundations and Applications</t>
  </si>
  <si>
    <t>https://open.hpi.de/courses/knowledgegraphs2023/items/4kbvISejYTdtCIodjIDEoL</t>
  </si>
  <si>
    <r>
      <t xml:space="preserve">ChatGPT: Master Free AI Tools to Supercharge Productivity Specialization
</t>
    </r>
    <r>
      <rPr>
        <sz val="11"/>
        <color rgb="FF000000"/>
        <rFont val="Calibri"/>
        <family val="2"/>
      </rPr>
      <t xml:space="preserve">
Prompt Engineering for ChatGPT 
Advanced Prompt Engineering for Everyone 
OpenAI GPTs: Creating Your Own Custom AI Assistants</t>
    </r>
  </si>
  <si>
    <t>Vanderbilt</t>
  </si>
  <si>
    <r>
      <t xml:space="preserve">Basic AI/ML  </t>
    </r>
    <r>
      <rPr>
        <b/>
        <sz val="11"/>
        <color rgb="FF000000"/>
        <rFont val="Calibri"/>
        <family val="2"/>
      </rPr>
      <t>project - 1</t>
    </r>
  </si>
  <si>
    <r>
      <t xml:space="preserve">Basic AI/ML  </t>
    </r>
    <r>
      <rPr>
        <b/>
        <sz val="11"/>
        <color rgb="FF000000"/>
        <rFont val="Calibri"/>
        <family val="2"/>
      </rPr>
      <t>project - 2</t>
    </r>
  </si>
  <si>
    <t>1: 9/5/2025 - Eid Milad un Nabi</t>
  </si>
  <si>
    <t>https://www.udemy.com/course/the-complete-sql-bootcamp/?couponCode=ST16MT230625C</t>
  </si>
  <si>
    <t>The Complete SQL Bootcamp: Go from Zero to Hero</t>
  </si>
  <si>
    <t>MLflow in Action - Master the art of MLOps using MLflow tool</t>
  </si>
  <si>
    <t>https://www.udemy.com/course/mlflow-course</t>
  </si>
  <si>
    <t>Abdullah Faiz</t>
  </si>
  <si>
    <t>Introduction to Lakehouse-AI and Governance</t>
  </si>
  <si>
    <r>
      <rPr>
        <b/>
        <sz val="11"/>
        <color rgb="FF000000"/>
        <rFont val="Calibri"/>
        <family val="2"/>
      </rPr>
      <t xml:space="preserve">Introduction to  DataLake house - 2
</t>
    </r>
    <r>
      <rPr>
        <sz val="11"/>
        <color rgb="FF000000"/>
        <rFont val="Calibri"/>
        <family val="2"/>
      </rPr>
      <t xml:space="preserve">
Insallation
Hands - On</t>
    </r>
    <r>
      <rPr>
        <sz val="11"/>
        <color rgb="FF000000"/>
        <rFont val="Calibri"/>
        <family val="2"/>
      </rPr>
      <t xml:space="preserve">
Introduction to Lakehouse-AI and Governance</t>
    </r>
  </si>
  <si>
    <t>Introduction to Healthcare
Introduction to Clinical Data
Fundamentals of Machine Learning for Healthcare</t>
  </si>
  <si>
    <t>Evaluations of AI Applications in Healthcare
AI in Healthcare Capstone</t>
  </si>
  <si>
    <r>
      <rPr>
        <b/>
        <sz val="11"/>
        <color rgb="FF000000"/>
        <rFont val="Calibri"/>
        <family val="2"/>
      </rPr>
      <t xml:space="preserve">Data Structures and Algorithms Specialization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Course 2:</t>
    </r>
    <r>
      <rPr>
        <sz val="11"/>
        <color rgb="FF000000"/>
        <rFont val="Calibri"/>
        <family val="2"/>
      </rPr>
      <t xml:space="preserve"> Data Structures</t>
    </r>
  </si>
  <si>
    <r>
      <rPr>
        <b/>
        <sz val="11"/>
        <color rgb="FF000000"/>
        <rFont val="Calibri"/>
        <family val="2"/>
      </rPr>
      <t xml:space="preserve">Probability &amp; Statistics for Machine Learning &amp; Data Science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 xml:space="preserve">Week 1 - </t>
    </r>
    <r>
      <rPr>
        <sz val="11"/>
        <color rgb="FF000000"/>
        <rFont val="Calibri"/>
        <family val="2"/>
      </rPr>
      <t xml:space="preserve">Introduction to Probability and Probability Distributions
</t>
    </r>
    <r>
      <rPr>
        <b/>
        <sz val="11"/>
        <color rgb="FF000000"/>
        <rFont val="Calibri"/>
        <family val="2"/>
      </rPr>
      <t>Week 2</t>
    </r>
    <r>
      <rPr>
        <sz val="11"/>
        <color rgb="FF000000"/>
        <rFont val="Calibri"/>
        <family val="2"/>
      </rPr>
      <t xml:space="preserve"> - Describing probability distributions and probability distributions with multiple variables
</t>
    </r>
    <r>
      <rPr>
        <b/>
        <sz val="11"/>
        <color rgb="FF000000"/>
        <rFont val="Calibri"/>
        <family val="2"/>
      </rPr>
      <t xml:space="preserve">Week 3 </t>
    </r>
    <r>
      <rPr>
        <sz val="11"/>
        <color rgb="FF000000"/>
        <rFont val="Calibri"/>
        <family val="2"/>
      </rPr>
      <t xml:space="preserve">- Sampling and Point estimation
</t>
    </r>
    <r>
      <rPr>
        <b/>
        <sz val="11"/>
        <color rgb="FF000000"/>
        <rFont val="Calibri"/>
        <family val="2"/>
      </rPr>
      <t>Week 4 -</t>
    </r>
    <r>
      <rPr>
        <sz val="11"/>
        <color rgb="FF000000"/>
        <rFont val="Calibri"/>
        <family val="2"/>
      </rPr>
      <t xml:space="preserve"> Confidence Intervals and Hypothesis testing</t>
    </r>
  </si>
  <si>
    <t>Language Models and Intelligent Agentic Systems</t>
  </si>
  <si>
    <t>Cambridge</t>
  </si>
  <si>
    <t>Youtube</t>
  </si>
  <si>
    <r>
      <rPr>
        <b/>
        <sz val="11"/>
        <color rgb="FF000000"/>
        <rFont val="Calibri"/>
        <family val="2"/>
      </rPr>
      <t>ChatGPT: Master Free AI Tools to Supercharge Productivity Specialization</t>
    </r>
    <r>
      <rPr>
        <sz val="11"/>
        <color rgb="FF000000"/>
        <rFont val="Calibri"/>
        <family val="2"/>
      </rPr>
      <t xml:space="preserve">
OpenAI GPTs: Creating Your Own Custom AI Assistants</t>
    </r>
  </si>
  <si>
    <r>
      <rPr>
        <b/>
        <sz val="11"/>
        <color rgb="FF000000"/>
        <rFont val="Calibri"/>
        <family val="2"/>
      </rPr>
      <t xml:space="preserve">AI/ML (Advanced Machine Learning Specialization by HSE) + Deep Learning - 3
</t>
    </r>
    <r>
      <rPr>
        <sz val="11"/>
        <color rgb="FF000000"/>
        <rFont val="Calibri"/>
        <family val="2"/>
      </rPr>
      <t xml:space="preserve">
Convolutional Neural Networks (Coursera)
Sequence Models (Coursera)</t>
    </r>
    <r>
      <rPr>
        <sz val="11"/>
        <color rgb="FF000000"/>
        <rFont val="Calibri"/>
        <family val="2"/>
      </rPr>
      <t xml:space="preserve">
Deep Unsupervised Learning (Berkeley)</t>
    </r>
  </si>
  <si>
    <r>
      <rPr>
        <b/>
        <sz val="11"/>
        <color rgb="FF000000"/>
        <rFont val="Calibri"/>
        <family val="2"/>
      </rPr>
      <t xml:space="preserve">Applied Data Science with Python Specialization -1
</t>
    </r>
    <r>
      <rPr>
        <sz val="11"/>
        <color rgb="FF000000"/>
        <rFont val="Calibri"/>
        <family val="2"/>
      </rPr>
      <t>Introduction to Data Science in Python
Applied Plotting, Charting &amp; Data Representation in Python 
Applied Machine Learning in Python</t>
    </r>
  </si>
  <si>
    <r>
      <rPr>
        <b/>
        <sz val="11"/>
        <color rgb="FF000000"/>
        <rFont val="Calibri"/>
        <family val="2"/>
      </rPr>
      <t>Applied Data Science with Python Specialization -2</t>
    </r>
    <r>
      <rPr>
        <sz val="11"/>
        <color rgb="FF000000"/>
        <rFont val="Calibri"/>
        <family val="2"/>
      </rPr>
      <t xml:space="preserve">
Applied Text Mining in Python
Applied Social Network Analysis in Python
</t>
    </r>
    <r>
      <rPr>
        <b/>
        <sz val="11"/>
        <color rgb="FF000000"/>
        <rFont val="Calibri"/>
        <family val="2"/>
      </rPr>
      <t>Knowledge Graph - 1</t>
    </r>
    <r>
      <rPr>
        <sz val="11"/>
        <color rgb="FF000000"/>
        <rFont val="Calibri"/>
        <family val="2"/>
      </rPr>
      <t xml:space="preserve">
Neo4j Fundamentals
Cypher Fundamentals
Graph Data Modelling Fundamentals
Importing CSV Data into Neo4j
Cypher Indexes and Constraints</t>
    </r>
  </si>
  <si>
    <r>
      <rPr>
        <b/>
        <sz val="11"/>
        <color rgb="FF000000"/>
        <rFont val="Calibri"/>
        <family val="2"/>
      </rPr>
      <t>Knowledge Graph</t>
    </r>
    <r>
      <rPr>
        <sz val="11"/>
        <color rgb="FF000000"/>
        <rFont val="Calibri"/>
        <family val="2"/>
      </rPr>
      <t xml:space="preserve">
Building Neo4j Applications with Python
Introduction to Neo4j Graph Data Science 
Neo4j Graph Data Science Fundamentals 
Knowledge Graphs - Foundations and Applications</t>
    </r>
  </si>
  <si>
    <t>https://www.youtube.com/playlist?list=PLKOGQ4KczC_pa2r4UXb3wOIbBeU6Qeeoy 
\\DCshare\AI\Courses_Bootcamp2025</t>
  </si>
  <si>
    <t>https://www.youtube.com/playlist?list=PLwRJQ4m4UJjPIvv4kgBkvu_uygrV3ut_U
\\DCshare\AI\Courses_Bootcamp2025</t>
  </si>
  <si>
    <t>20 Mega Applications in Python - 2</t>
  </si>
  <si>
    <r>
      <t xml:space="preserve">Note: </t>
    </r>
    <r>
      <rPr>
        <sz val="11"/>
        <color theme="1"/>
        <rFont val="Calibri"/>
        <family val="2"/>
        <scheme val="minor"/>
      </rPr>
      <t>2 days of onboarding/L&amp;D trainings</t>
    </r>
  </si>
  <si>
    <r>
      <rPr>
        <b/>
        <sz val="11"/>
        <color rgb="FF000000"/>
        <rFont val="Calibri"/>
        <family val="2"/>
      </rPr>
      <t>Course 1:</t>
    </r>
    <r>
      <rPr>
        <sz val="11"/>
        <color rgb="FF000000"/>
        <rFont val="Calibri"/>
        <family val="2"/>
      </rPr>
      <t xml:space="preserve"> 
Linear algebra </t>
    </r>
  </si>
  <si>
    <r>
      <rPr>
        <b/>
        <sz val="11"/>
        <color rgb="FF000000"/>
        <rFont val="Calibri"/>
        <family val="2"/>
      </rPr>
      <t xml:space="preserve">Course 2: 
</t>
    </r>
    <r>
      <rPr>
        <sz val="11"/>
        <color rgb="FF000000"/>
        <rFont val="Calibri"/>
        <family val="2"/>
      </rPr>
      <t>Multivariate Calculus</t>
    </r>
  </si>
  <si>
    <r>
      <rPr>
        <b/>
        <sz val="11"/>
        <color rgb="FF000000"/>
        <rFont val="Calibri"/>
        <family val="2"/>
      </rPr>
      <t>Course 3:</t>
    </r>
    <r>
      <rPr>
        <sz val="11"/>
        <color rgb="FF000000"/>
        <rFont val="Calibri"/>
        <family val="2"/>
      </rPr>
      <t xml:space="preserve"> 
PCA</t>
    </r>
  </si>
  <si>
    <t>Instructor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</si>
</sst>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3.5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A9D08E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0" xfId="0" applyFill="1"/>
    <xf numFmtId="0" fontId="0" fillId="15" borderId="4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vertical="center" wrapText="1"/>
    </xf>
    <xf numFmtId="0" fontId="0" fillId="8" borderId="4" xfId="0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vertical="center" wrapText="1"/>
    </xf>
    <xf numFmtId="0" fontId="6" fillId="15" borderId="4" xfId="0" applyFont="1" applyFill="1" applyBorder="1" applyAlignment="1">
      <alignment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7" fillId="8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4" fillId="11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0" fontId="4" fillId="13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 wrapText="1"/>
    </xf>
    <xf numFmtId="0" fontId="8" fillId="13" borderId="4" xfId="0" applyFont="1" applyFill="1" applyBorder="1" applyAlignment="1">
      <alignment vertical="center" wrapText="1"/>
    </xf>
    <xf numFmtId="0" fontId="4" fillId="14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15" fontId="0" fillId="3" borderId="4" xfId="0" applyNumberForma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16" borderId="1" xfId="0" applyFont="1" applyFill="1" applyBorder="1" applyAlignment="1">
      <alignment wrapText="1"/>
    </xf>
    <xf numFmtId="0" fontId="4" fillId="16" borderId="1" xfId="0" applyFont="1" applyFill="1" applyBorder="1"/>
    <xf numFmtId="2" fontId="0" fillId="0" borderId="1" xfId="0" applyNumberFormat="1" applyBorder="1"/>
    <xf numFmtId="0" fontId="4" fillId="0" borderId="1" xfId="0" applyFont="1" applyBorder="1" applyAlignment="1">
      <alignment wrapText="1"/>
    </xf>
    <xf numFmtId="0" fontId="3" fillId="17" borderId="1" xfId="0" applyFont="1" applyFill="1" applyBorder="1"/>
    <xf numFmtId="0" fontId="4" fillId="17" borderId="1" xfId="0" applyFont="1" applyFill="1" applyBorder="1" applyAlignment="1">
      <alignment wrapText="1"/>
    </xf>
    <xf numFmtId="0" fontId="4" fillId="18" borderId="1" xfId="0" applyFont="1" applyFill="1" applyBorder="1"/>
    <xf numFmtId="0" fontId="4" fillId="19" borderId="1" xfId="0" applyFont="1" applyFill="1" applyBorder="1"/>
    <xf numFmtId="0" fontId="4" fillId="20" borderId="1" xfId="0" applyFont="1" applyFill="1" applyBorder="1" applyAlignment="1">
      <alignment wrapText="1"/>
    </xf>
    <xf numFmtId="0" fontId="2" fillId="0" borderId="1" xfId="1" applyFill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/>
    <xf numFmtId="0" fontId="4" fillId="21" borderId="1" xfId="0" applyFont="1" applyFill="1" applyBorder="1"/>
    <xf numFmtId="0" fontId="4" fillId="22" borderId="1" xfId="0" applyFont="1" applyFill="1" applyBorder="1"/>
    <xf numFmtId="0" fontId="4" fillId="23" borderId="1" xfId="0" applyFont="1" applyFill="1" applyBorder="1" applyAlignment="1">
      <alignment wrapText="1"/>
    </xf>
    <xf numFmtId="0" fontId="4" fillId="23" borderId="1" xfId="0" applyFont="1" applyFill="1" applyBorder="1"/>
    <xf numFmtId="0" fontId="4" fillId="0" borderId="1" xfId="0" applyFont="1" applyBorder="1" applyAlignment="1">
      <alignment horizontal="left" wrapText="1"/>
    </xf>
    <xf numFmtId="0" fontId="6" fillId="23" borderId="1" xfId="0" applyFont="1" applyFill="1" applyBorder="1"/>
    <xf numFmtId="0" fontId="7" fillId="0" borderId="1" xfId="0" applyFont="1" applyBorder="1" applyAlignment="1">
      <alignment horizontal="left" wrapText="1"/>
    </xf>
    <xf numFmtId="0" fontId="4" fillId="19" borderId="1" xfId="0" applyFont="1" applyFill="1" applyBorder="1" applyAlignment="1">
      <alignment wrapText="1"/>
    </xf>
    <xf numFmtId="0" fontId="3" fillId="12" borderId="4" xfId="0" applyFont="1" applyFill="1" applyBorder="1" applyAlignment="1">
      <alignment vertical="center" wrapText="1"/>
    </xf>
    <xf numFmtId="0" fontId="2" fillId="0" borderId="1" xfId="1" applyFill="1" applyBorder="1" applyAlignment="1">
      <alignment wrapText="1"/>
    </xf>
    <xf numFmtId="0" fontId="4" fillId="21" borderId="1" xfId="0" applyFont="1" applyFill="1" applyBorder="1" applyAlignment="1">
      <alignment wrapText="1"/>
    </xf>
    <xf numFmtId="0" fontId="4" fillId="18" borderId="1" xfId="0" applyFont="1" applyFill="1" applyBorder="1" applyAlignment="1">
      <alignment wrapText="1"/>
    </xf>
    <xf numFmtId="0" fontId="4" fillId="22" borderId="1" xfId="0" applyFont="1" applyFill="1" applyBorder="1" applyAlignment="1">
      <alignment wrapText="1"/>
    </xf>
    <xf numFmtId="0" fontId="2" fillId="0" borderId="1" xfId="1" applyBorder="1" applyAlignment="1">
      <alignment horizontal="left" wrapText="1"/>
    </xf>
    <xf numFmtId="0" fontId="2" fillId="0" borderId="0" xfId="1" applyFill="1" applyAlignment="1">
      <alignment wrapText="1"/>
    </xf>
    <xf numFmtId="0" fontId="1" fillId="0" borderId="4" xfId="0" applyFont="1" applyBorder="1" applyAlignment="1">
      <alignment vertical="center" wrapText="1"/>
    </xf>
    <xf numFmtId="15" fontId="0" fillId="0" borderId="4" xfId="0" applyNumberFormat="1" applyFill="1" applyBorder="1" applyAlignment="1">
      <alignment vertical="center" wrapText="1"/>
    </xf>
    <xf numFmtId="0" fontId="2" fillId="0" borderId="1" xfId="1" applyFill="1" applyBorder="1" applyAlignment="1">
      <alignment wrapText="1"/>
    </xf>
    <xf numFmtId="0" fontId="4" fillId="22" borderId="1" xfId="0" applyFont="1" applyFill="1" applyBorder="1" applyAlignment="1">
      <alignment wrapText="1"/>
    </xf>
    <xf numFmtId="0" fontId="4" fillId="21" borderId="1" xfId="0" applyFont="1" applyFill="1" applyBorder="1" applyAlignment="1">
      <alignment wrapText="1"/>
    </xf>
    <xf numFmtId="0" fontId="4" fillId="1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1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0" borderId="1" xfId="1" applyFill="1" applyBorder="1" applyAlignment="1">
      <alignment wrapText="1"/>
    </xf>
    <xf numFmtId="0" fontId="4" fillId="21" borderId="1" xfId="0" applyFont="1" applyFill="1" applyBorder="1" applyAlignment="1">
      <alignment wrapText="1"/>
    </xf>
    <xf numFmtId="0" fontId="6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3" fillId="17" borderId="1" xfId="0" applyFont="1" applyFill="1" applyBorder="1" applyAlignment="1"/>
    <xf numFmtId="0" fontId="4" fillId="19" borderId="1" xfId="0" applyFont="1" applyFill="1" applyBorder="1" applyAlignment="1"/>
    <xf numFmtId="0" fontId="6" fillId="19" borderId="1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left" wrapText="1"/>
    </xf>
    <xf numFmtId="0" fontId="4" fillId="19" borderId="2" xfId="0" applyFont="1" applyFill="1" applyBorder="1" applyAlignment="1">
      <alignment horizontal="left" wrapText="1"/>
    </xf>
    <xf numFmtId="0" fontId="4" fillId="19" borderId="3" xfId="0" applyFont="1" applyFill="1" applyBorder="1" applyAlignment="1">
      <alignment horizontal="left" wrapText="1"/>
    </xf>
    <xf numFmtId="0" fontId="4" fillId="18" borderId="8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wrapText="1"/>
    </xf>
    <xf numFmtId="0" fontId="6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left" wrapText="1"/>
    </xf>
    <xf numFmtId="0" fontId="4" fillId="22" borderId="1" xfId="0" applyFont="1" applyFill="1" applyBorder="1" applyAlignment="1">
      <alignment horizontal="left" wrapText="1"/>
    </xf>
    <xf numFmtId="0" fontId="6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wrapText="1"/>
    </xf>
    <xf numFmtId="0" fontId="4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2" fillId="0" borderId="1" xfId="1" applyFill="1" applyBorder="1" applyAlignment="1">
      <alignment horizontal="left" vertical="center" wrapText="1"/>
    </xf>
    <xf numFmtId="0" fontId="4" fillId="16" borderId="1" xfId="0" applyFont="1" applyFill="1" applyBorder="1" applyAlignment="1"/>
    <xf numFmtId="0" fontId="6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/>
    <xf numFmtId="0" fontId="6" fillId="18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sera.org/specializations/data-science-python" TargetMode="External"/><Relationship Id="rId13" Type="http://schemas.openxmlformats.org/officeDocument/2006/relationships/hyperlink" Target="https://www.udemy.com/course/the-python-mega-course/" TargetMode="External"/><Relationship Id="rId18" Type="http://schemas.openxmlformats.org/officeDocument/2006/relationships/hyperlink" Target="https://www.coursera.org/specializations/deep-learning?" TargetMode="External"/><Relationship Id="rId26" Type="http://schemas.openxmlformats.org/officeDocument/2006/relationships/hyperlink" Target="https://www.coursera.org/specializations/ai-healthcare" TargetMode="External"/><Relationship Id="rId3" Type="http://schemas.openxmlformats.org/officeDocument/2006/relationships/hyperlink" Target="https://www.coursera.org/learn/machine-learning-probability-and-statistics?specialization=mathematics-for-machine-learning-and-data-science" TargetMode="External"/><Relationship Id="rId21" Type="http://schemas.openxmlformats.org/officeDocument/2006/relationships/hyperlink" Target="https://www.myworkday.com/curemd/d/inst/1$23455/23455$140.htmld" TargetMode="External"/><Relationship Id="rId7" Type="http://schemas.openxmlformats.org/officeDocument/2006/relationships/hyperlink" Target="https://www.myworkday.com/curemd/learning/program/97d6f3eb2de21000adce6e418fb50000?type=2d29754fdb8e100008b50ff6bc94003b" TargetMode="External"/><Relationship Id="rId12" Type="http://schemas.openxmlformats.org/officeDocument/2006/relationships/hyperlink" Target="https://www.coursera.org/specializations/leadership-communication-engineers" TargetMode="External"/><Relationship Id="rId17" Type="http://schemas.openxmlformats.org/officeDocument/2006/relationships/hyperlink" Target="https://www.youtube.com/watch?v=zJ6WbK9zFpI" TargetMode="External"/><Relationship Id="rId25" Type="http://schemas.openxmlformats.org/officeDocument/2006/relationships/hyperlink" Target="https://www.coursera.org/specializations/chatgpt-free-ai-tools-to-excel" TargetMode="External"/><Relationship Id="rId2" Type="http://schemas.openxmlformats.org/officeDocument/2006/relationships/hyperlink" Target="https://www.coursera.org/specializations/mathematics-machine-learning" TargetMode="External"/><Relationship Id="rId16" Type="http://schemas.openxmlformats.org/officeDocument/2006/relationships/hyperlink" Target="https://www.coursera.org/specializations/data-structures-algorithms" TargetMode="External"/><Relationship Id="rId20" Type="http://schemas.openxmlformats.org/officeDocument/2006/relationships/hyperlink" Target="https://www.coursera.org/specializations/data-science-python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https://www.udemy.com/course/object-oriented-programming-with-modern-python/" TargetMode="External"/><Relationship Id="rId6" Type="http://schemas.openxmlformats.org/officeDocument/2006/relationships/hyperlink" Target="https://www.udemy.com/course/mlflow-course" TargetMode="External"/><Relationship Id="rId11" Type="http://schemas.openxmlformats.org/officeDocument/2006/relationships/hyperlink" Target="https://www.myworkday.com/curemd/d/inst/1$23455/23455$140.htmld" TargetMode="External"/><Relationship Id="rId24" Type="http://schemas.openxmlformats.org/officeDocument/2006/relationships/hyperlink" Target="https://www.coursera.org/specializations/chatgpt-free-ai-tools-to-excel" TargetMode="External"/><Relationship Id="rId5" Type="http://schemas.openxmlformats.org/officeDocument/2006/relationships/hyperlink" Target="https://www.coursera.org/specializations/machine-learning-introduction" TargetMode="External"/><Relationship Id="rId15" Type="http://schemas.openxmlformats.org/officeDocument/2006/relationships/hyperlink" Target="https://www.udemy.com/course/the-complete-sql-bootcamp/?couponCode=ST16MT230625C" TargetMode="External"/><Relationship Id="rId23" Type="http://schemas.openxmlformats.org/officeDocument/2006/relationships/hyperlink" Target="https://www.youtube.com/playlist?list=PLwRJQ4m4UJjPIvv4kgBkvu_uygrV3ut_U" TargetMode="External"/><Relationship Id="rId28" Type="http://schemas.openxmlformats.org/officeDocument/2006/relationships/hyperlink" Target="https://www.youtube.com/playlist?list=PLKOGQ4KczC_pa2r4UXb3wOIbBeU6Qeeoy" TargetMode="External"/><Relationship Id="rId10" Type="http://schemas.openxmlformats.org/officeDocument/2006/relationships/hyperlink" Target="https://www.coursera.org/professional-certificates/ibm-data-engineer" TargetMode="External"/><Relationship Id="rId19" Type="http://schemas.openxmlformats.org/officeDocument/2006/relationships/hyperlink" Target="https://www.coursera.org/learn/generative-ai-with-llms" TargetMode="External"/><Relationship Id="rId4" Type="http://schemas.openxmlformats.org/officeDocument/2006/relationships/hyperlink" Target="https://www.myworkday.com/curemd/learning/course/1c558585dacc011f6978b8a593018211?type=9882927d138b100019b928e75843018d" TargetMode="External"/><Relationship Id="rId9" Type="http://schemas.openxmlformats.org/officeDocument/2006/relationships/hyperlink" Target="https://graphacademy.neo4j.com/" TargetMode="External"/><Relationship Id="rId14" Type="http://schemas.openxmlformats.org/officeDocument/2006/relationships/hyperlink" Target="https://www.coursera.org/specializations/data-structures-algorithms" TargetMode="External"/><Relationship Id="rId22" Type="http://schemas.openxmlformats.org/officeDocument/2006/relationships/hyperlink" Target="https://www.coursera.org/specializations/leadership-communication-engineers" TargetMode="External"/><Relationship Id="rId27" Type="http://schemas.openxmlformats.org/officeDocument/2006/relationships/hyperlink" Target="https://open.hpi.de/courses/knowledgegraphs2023/items/4kbvISejYTdtCIodjIDEo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6C45-78DD-4002-8B21-DD81BAC8454E}">
  <dimension ref="A1:H17"/>
  <sheetViews>
    <sheetView zoomScale="130" zoomScaleNormal="130" workbookViewId="0">
      <selection activeCell="C15" sqref="C15"/>
    </sheetView>
  </sheetViews>
  <sheetFormatPr defaultRowHeight="14.4" x14ac:dyDescent="0.3"/>
  <cols>
    <col min="1" max="1" width="16.6640625" bestFit="1" customWidth="1"/>
    <col min="2" max="6" width="30.44140625" bestFit="1" customWidth="1"/>
    <col min="7" max="7" width="35.77734375" bestFit="1" customWidth="1"/>
    <col min="8" max="8" width="25.109375" style="2" customWidth="1"/>
    <col min="9" max="9" width="15.33203125" customWidth="1"/>
    <col min="10" max="10" width="16" bestFit="1" customWidth="1"/>
  </cols>
  <sheetData>
    <row r="1" spans="1:8" ht="18" x14ac:dyDescent="0.3">
      <c r="A1" s="93" t="s">
        <v>99</v>
      </c>
      <c r="B1" s="93"/>
      <c r="C1" s="93"/>
      <c r="D1" s="93"/>
      <c r="E1" s="93"/>
      <c r="F1" s="93"/>
      <c r="G1" s="93"/>
      <c r="H1"/>
    </row>
    <row r="3" spans="1:8" x14ac:dyDescent="0.3">
      <c r="A3" s="94" t="s">
        <v>100</v>
      </c>
      <c r="B3" s="94"/>
      <c r="C3" s="94"/>
      <c r="D3" s="94"/>
      <c r="E3" s="94"/>
      <c r="F3" s="94"/>
      <c r="G3" s="94"/>
      <c r="H3"/>
    </row>
    <row r="5" spans="1:8" x14ac:dyDescent="0.3">
      <c r="A5" s="3" t="s">
        <v>84</v>
      </c>
      <c r="B5" s="3" t="s">
        <v>85</v>
      </c>
      <c r="C5" s="3" t="s">
        <v>86</v>
      </c>
      <c r="D5" s="3" t="s">
        <v>87</v>
      </c>
      <c r="E5" s="3" t="s">
        <v>101</v>
      </c>
      <c r="F5" s="3" t="s">
        <v>102</v>
      </c>
      <c r="G5" s="3" t="s">
        <v>103</v>
      </c>
      <c r="H5"/>
    </row>
    <row r="6" spans="1:8" x14ac:dyDescent="0.3">
      <c r="A6" s="34" t="s">
        <v>88</v>
      </c>
      <c r="B6" s="5">
        <v>45845</v>
      </c>
      <c r="C6" s="5">
        <v>45856</v>
      </c>
      <c r="D6" s="6">
        <v>10</v>
      </c>
      <c r="E6" s="6">
        <v>10</v>
      </c>
      <c r="F6" s="7">
        <v>72</v>
      </c>
      <c r="G6" s="87" t="s">
        <v>256</v>
      </c>
      <c r="H6"/>
    </row>
    <row r="7" spans="1:8" x14ac:dyDescent="0.3">
      <c r="A7" s="34" t="s">
        <v>89</v>
      </c>
      <c r="B7" s="5">
        <v>45859</v>
      </c>
      <c r="C7" s="5">
        <v>45870</v>
      </c>
      <c r="D7" s="6">
        <v>10</v>
      </c>
      <c r="E7" s="6">
        <v>10</v>
      </c>
      <c r="F7" s="7">
        <f t="shared" ref="F7:F16" si="0">E7*9</f>
        <v>90</v>
      </c>
      <c r="G7" s="6"/>
      <c r="H7"/>
    </row>
    <row r="8" spans="1:8" x14ac:dyDescent="0.3">
      <c r="A8" s="34" t="s">
        <v>90</v>
      </c>
      <c r="B8" s="5">
        <v>45873</v>
      </c>
      <c r="C8" s="5">
        <v>45884</v>
      </c>
      <c r="D8" s="6">
        <v>10</v>
      </c>
      <c r="E8" s="6">
        <v>9</v>
      </c>
      <c r="F8" s="7">
        <f t="shared" si="0"/>
        <v>81</v>
      </c>
      <c r="G8" s="6" t="s">
        <v>104</v>
      </c>
      <c r="H8"/>
    </row>
    <row r="9" spans="1:8" x14ac:dyDescent="0.3">
      <c r="A9" s="34" t="s">
        <v>91</v>
      </c>
      <c r="B9" s="5">
        <v>45887</v>
      </c>
      <c r="C9" s="5">
        <v>45898</v>
      </c>
      <c r="D9" s="6">
        <v>10</v>
      </c>
      <c r="E9" s="6">
        <v>10</v>
      </c>
      <c r="F9" s="7">
        <f t="shared" si="0"/>
        <v>90</v>
      </c>
      <c r="G9" s="6"/>
      <c r="H9"/>
    </row>
    <row r="10" spans="1:8" x14ac:dyDescent="0.3">
      <c r="A10" s="34" t="s">
        <v>92</v>
      </c>
      <c r="B10" s="5">
        <v>45901</v>
      </c>
      <c r="C10" s="5">
        <v>45912</v>
      </c>
      <c r="D10" s="6">
        <v>10</v>
      </c>
      <c r="E10" s="6">
        <v>9</v>
      </c>
      <c r="F10" s="7">
        <f t="shared" si="0"/>
        <v>81</v>
      </c>
      <c r="G10" s="6" t="s">
        <v>233</v>
      </c>
      <c r="H10"/>
    </row>
    <row r="11" spans="1:8" x14ac:dyDescent="0.3">
      <c r="A11" s="34" t="s">
        <v>93</v>
      </c>
      <c r="B11" s="5">
        <v>45915</v>
      </c>
      <c r="C11" s="5">
        <v>45926</v>
      </c>
      <c r="D11" s="6">
        <v>10</v>
      </c>
      <c r="E11" s="6">
        <v>10</v>
      </c>
      <c r="F11" s="7">
        <f t="shared" si="0"/>
        <v>90</v>
      </c>
      <c r="G11" s="6"/>
      <c r="H11"/>
    </row>
    <row r="12" spans="1:8" x14ac:dyDescent="0.3">
      <c r="A12" s="34" t="s">
        <v>94</v>
      </c>
      <c r="B12" s="88">
        <v>45929</v>
      </c>
      <c r="C12" s="88">
        <v>45940</v>
      </c>
      <c r="D12" s="6">
        <v>10</v>
      </c>
      <c r="E12" s="6">
        <v>10</v>
      </c>
      <c r="F12" s="7">
        <f t="shared" si="0"/>
        <v>90</v>
      </c>
      <c r="G12" s="6"/>
      <c r="H12"/>
    </row>
    <row r="13" spans="1:8" x14ac:dyDescent="0.3">
      <c r="A13" s="58" t="s">
        <v>95</v>
      </c>
      <c r="B13" s="57">
        <v>45943</v>
      </c>
      <c r="C13" s="57">
        <v>45954</v>
      </c>
      <c r="D13" s="6">
        <v>10</v>
      </c>
      <c r="E13" s="6">
        <v>10</v>
      </c>
      <c r="F13" s="7">
        <f t="shared" si="0"/>
        <v>90</v>
      </c>
      <c r="G13" s="6"/>
      <c r="H13"/>
    </row>
    <row r="14" spans="1:8" x14ac:dyDescent="0.3">
      <c r="A14" s="4" t="s">
        <v>96</v>
      </c>
      <c r="B14" s="5">
        <v>45957</v>
      </c>
      <c r="C14" s="5">
        <v>45968</v>
      </c>
      <c r="D14" s="6">
        <v>10</v>
      </c>
      <c r="E14" s="6">
        <v>10</v>
      </c>
      <c r="F14" s="7">
        <f t="shared" si="0"/>
        <v>90</v>
      </c>
      <c r="G14" s="6"/>
      <c r="H14"/>
    </row>
    <row r="15" spans="1:8" x14ac:dyDescent="0.3">
      <c r="A15" s="4" t="s">
        <v>97</v>
      </c>
      <c r="B15" s="5">
        <v>45971</v>
      </c>
      <c r="C15" s="5">
        <v>45982</v>
      </c>
      <c r="D15" s="6">
        <v>10</v>
      </c>
      <c r="E15" s="6">
        <v>10</v>
      </c>
      <c r="F15" s="7">
        <f t="shared" si="0"/>
        <v>90</v>
      </c>
      <c r="G15" s="6"/>
      <c r="H15"/>
    </row>
    <row r="16" spans="1:8" x14ac:dyDescent="0.3">
      <c r="A16" s="4" t="s">
        <v>105</v>
      </c>
      <c r="B16" s="5">
        <v>45985</v>
      </c>
      <c r="C16" s="5">
        <v>45996</v>
      </c>
      <c r="D16" s="6">
        <v>10</v>
      </c>
      <c r="E16" s="6">
        <v>10</v>
      </c>
      <c r="F16" s="7">
        <f t="shared" si="0"/>
        <v>90</v>
      </c>
      <c r="G16" s="6"/>
      <c r="H16"/>
    </row>
    <row r="17" spans="1:8" x14ac:dyDescent="0.3">
      <c r="A17" s="4" t="s">
        <v>98</v>
      </c>
      <c r="B17" s="5">
        <v>45999</v>
      </c>
      <c r="C17" s="5">
        <v>46010</v>
      </c>
      <c r="D17" s="6">
        <v>10</v>
      </c>
      <c r="E17" s="6">
        <v>10</v>
      </c>
      <c r="F17" s="7">
        <v>90</v>
      </c>
      <c r="G17" s="8"/>
      <c r="H17"/>
    </row>
  </sheetData>
  <mergeCells count="2">
    <mergeCell ref="A1:G1"/>
    <mergeCell ref="A3:G3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91AD-45C1-47FD-B48D-D927D7FEF8A7}">
  <dimension ref="A2:I90"/>
  <sheetViews>
    <sheetView topLeftCell="B1" zoomScale="115" zoomScaleNormal="115" workbookViewId="0">
      <pane ySplit="2" topLeftCell="A3" activePane="bottomLeft" state="frozen"/>
      <selection pane="bottomLeft" activeCell="C5" sqref="C5:C6"/>
    </sheetView>
  </sheetViews>
  <sheetFormatPr defaultRowHeight="14.4" x14ac:dyDescent="0.3"/>
  <cols>
    <col min="1" max="1" width="5" bestFit="1" customWidth="1"/>
    <col min="2" max="2" width="26.44140625" style="35" bestFit="1" customWidth="1"/>
    <col min="3" max="3" width="63.33203125" bestFit="1" customWidth="1"/>
    <col min="4" max="4" width="63.5546875" customWidth="1"/>
    <col min="5" max="5" width="9.88671875" customWidth="1"/>
    <col min="6" max="6" width="6.44140625" customWidth="1"/>
    <col min="7" max="7" width="7.21875" customWidth="1"/>
    <col min="8" max="8" width="78.109375" customWidth="1"/>
    <col min="9" max="9" width="40.109375" bestFit="1" customWidth="1"/>
  </cols>
  <sheetData>
    <row r="2" spans="1:9" ht="28.8" x14ac:dyDescent="0.3">
      <c r="A2" s="59" t="s">
        <v>0</v>
      </c>
      <c r="B2" s="78" t="s">
        <v>1</v>
      </c>
      <c r="C2" s="59" t="s">
        <v>2</v>
      </c>
      <c r="D2" s="59" t="s">
        <v>3</v>
      </c>
      <c r="E2" s="59" t="s">
        <v>106</v>
      </c>
      <c r="F2" s="59" t="s">
        <v>107</v>
      </c>
      <c r="G2" s="59" t="s">
        <v>108</v>
      </c>
      <c r="H2" s="59" t="s">
        <v>4</v>
      </c>
      <c r="I2" s="1"/>
    </row>
    <row r="3" spans="1:9" x14ac:dyDescent="0.3">
      <c r="A3" s="122">
        <v>1</v>
      </c>
      <c r="B3" s="123" t="s">
        <v>206</v>
      </c>
      <c r="C3" s="125" t="s">
        <v>5</v>
      </c>
      <c r="D3" s="60" t="s">
        <v>6</v>
      </c>
      <c r="E3" s="61">
        <v>26</v>
      </c>
      <c r="F3" s="61">
        <v>30</v>
      </c>
      <c r="G3" s="61">
        <v>3</v>
      </c>
      <c r="H3" s="81" t="s">
        <v>7</v>
      </c>
      <c r="I3" s="62">
        <v>8.6474721293199579</v>
      </c>
    </row>
    <row r="4" spans="1:9" x14ac:dyDescent="0.3">
      <c r="A4" s="122"/>
      <c r="B4" s="123"/>
      <c r="C4" s="125"/>
      <c r="D4" s="60" t="s">
        <v>8</v>
      </c>
      <c r="E4" s="61">
        <v>52</v>
      </c>
      <c r="F4" s="61">
        <v>60</v>
      </c>
      <c r="G4" s="61">
        <v>4</v>
      </c>
      <c r="H4" s="81" t="s">
        <v>9</v>
      </c>
      <c r="I4" s="1"/>
    </row>
    <row r="5" spans="1:9" s="9" customFormat="1" x14ac:dyDescent="0.3">
      <c r="A5" s="122"/>
      <c r="B5" s="123"/>
      <c r="C5" s="125" t="s">
        <v>10</v>
      </c>
      <c r="D5" s="60" t="s">
        <v>109</v>
      </c>
      <c r="E5" s="61">
        <v>8</v>
      </c>
      <c r="F5" s="61">
        <f>1.5*E5</f>
        <v>12</v>
      </c>
      <c r="G5" s="61">
        <v>1</v>
      </c>
      <c r="H5" s="89" t="s">
        <v>11</v>
      </c>
      <c r="I5" s="1">
        <v>1</v>
      </c>
    </row>
    <row r="6" spans="1:9" s="9" customFormat="1" x14ac:dyDescent="0.3">
      <c r="A6" s="122"/>
      <c r="B6" s="123"/>
      <c r="C6" s="125"/>
      <c r="D6" s="60" t="s">
        <v>110</v>
      </c>
      <c r="E6" s="61">
        <v>8</v>
      </c>
      <c r="F6" s="61">
        <f>1.5*E6</f>
        <v>12</v>
      </c>
      <c r="G6" s="61">
        <v>1</v>
      </c>
      <c r="H6" s="89"/>
      <c r="I6" s="1"/>
    </row>
    <row r="7" spans="1:9" x14ac:dyDescent="0.3">
      <c r="A7" s="122"/>
      <c r="B7" s="123"/>
      <c r="C7" s="124" t="s">
        <v>12</v>
      </c>
      <c r="D7" s="60" t="s">
        <v>13</v>
      </c>
      <c r="E7" s="61">
        <v>8</v>
      </c>
      <c r="F7" s="61">
        <v>30</v>
      </c>
      <c r="G7" s="61">
        <v>2</v>
      </c>
      <c r="H7" s="63" t="s">
        <v>14</v>
      </c>
      <c r="I7" s="1"/>
    </row>
    <row r="8" spans="1:9" s="9" customFormat="1" ht="28.8" x14ac:dyDescent="0.3">
      <c r="A8" s="122"/>
      <c r="B8" s="123"/>
      <c r="C8" s="124"/>
      <c r="D8" s="60" t="s">
        <v>235</v>
      </c>
      <c r="E8" s="61">
        <v>9</v>
      </c>
      <c r="F8" s="61">
        <v>22</v>
      </c>
      <c r="G8" s="61">
        <v>2</v>
      </c>
      <c r="H8" s="81" t="s">
        <v>234</v>
      </c>
      <c r="I8" s="1"/>
    </row>
    <row r="9" spans="1:9" s="9" customFormat="1" x14ac:dyDescent="0.3">
      <c r="A9" s="122"/>
      <c r="B9" s="123"/>
      <c r="C9" s="124"/>
      <c r="D9" s="60" t="s">
        <v>111</v>
      </c>
      <c r="E9" s="61">
        <v>2</v>
      </c>
      <c r="F9" s="61">
        <v>4</v>
      </c>
      <c r="G9" s="61">
        <v>1</v>
      </c>
      <c r="H9" s="81" t="s">
        <v>112</v>
      </c>
      <c r="I9" s="1"/>
    </row>
    <row r="10" spans="1:9" x14ac:dyDescent="0.3">
      <c r="A10" s="122"/>
      <c r="B10" s="123"/>
      <c r="C10" s="124"/>
      <c r="D10" s="60" t="s">
        <v>15</v>
      </c>
      <c r="E10" s="61">
        <v>8</v>
      </c>
      <c r="F10" s="61">
        <v>15</v>
      </c>
      <c r="G10" s="61">
        <v>2</v>
      </c>
      <c r="H10" s="63" t="s">
        <v>14</v>
      </c>
      <c r="I10" s="1"/>
    </row>
    <row r="11" spans="1:9" x14ac:dyDescent="0.3">
      <c r="A11" s="103" t="s">
        <v>113</v>
      </c>
      <c r="B11" s="103"/>
      <c r="C11" s="103"/>
      <c r="D11" s="103"/>
      <c r="E11" s="64">
        <f>SUM(E3:E10)</f>
        <v>121</v>
      </c>
      <c r="F11" s="64">
        <f>SUM(F3:F10)</f>
        <v>185</v>
      </c>
      <c r="G11" s="64">
        <f>SUM(G3:G10)</f>
        <v>16</v>
      </c>
      <c r="H11" s="65" t="s">
        <v>114</v>
      </c>
      <c r="I11" s="1"/>
    </row>
    <row r="12" spans="1:9" ht="28.8" x14ac:dyDescent="0.3">
      <c r="A12" s="126">
        <v>2</v>
      </c>
      <c r="B12" s="127" t="s">
        <v>16</v>
      </c>
      <c r="C12" s="109" t="s">
        <v>17</v>
      </c>
      <c r="D12" s="83" t="s">
        <v>18</v>
      </c>
      <c r="E12" s="66">
        <v>4</v>
      </c>
      <c r="F12" s="66">
        <v>14</v>
      </c>
      <c r="G12" s="66">
        <v>2</v>
      </c>
      <c r="H12" s="97" t="s">
        <v>19</v>
      </c>
      <c r="I12" s="1"/>
    </row>
    <row r="13" spans="1:9" x14ac:dyDescent="0.3">
      <c r="A13" s="126"/>
      <c r="B13" s="127"/>
      <c r="C13" s="110"/>
      <c r="D13" s="83" t="s">
        <v>20</v>
      </c>
      <c r="E13" s="66">
        <v>4</v>
      </c>
      <c r="F13" s="66">
        <v>12</v>
      </c>
      <c r="G13" s="66">
        <v>2</v>
      </c>
      <c r="H13" s="97"/>
      <c r="I13" s="1"/>
    </row>
    <row r="14" spans="1:9" x14ac:dyDescent="0.3">
      <c r="A14" s="126"/>
      <c r="B14" s="127"/>
      <c r="C14" s="110"/>
      <c r="D14" s="83" t="s">
        <v>21</v>
      </c>
      <c r="E14" s="66">
        <v>3</v>
      </c>
      <c r="F14" s="66">
        <v>10</v>
      </c>
      <c r="G14" s="66">
        <v>2</v>
      </c>
      <c r="H14" s="97"/>
      <c r="I14" s="1"/>
    </row>
    <row r="15" spans="1:9" ht="28.8" x14ac:dyDescent="0.3">
      <c r="A15" s="126"/>
      <c r="B15" s="127"/>
      <c r="C15" s="111"/>
      <c r="D15" s="83" t="s">
        <v>23</v>
      </c>
      <c r="E15" s="66">
        <v>8</v>
      </c>
      <c r="F15" s="66">
        <v>24</v>
      </c>
      <c r="G15" s="66">
        <v>3</v>
      </c>
      <c r="H15" s="81" t="s">
        <v>24</v>
      </c>
      <c r="I15" s="1"/>
    </row>
    <row r="16" spans="1:9" ht="28.8" x14ac:dyDescent="0.3">
      <c r="A16" s="126"/>
      <c r="B16" s="127"/>
      <c r="C16" s="92" t="s">
        <v>22</v>
      </c>
      <c r="D16" s="83" t="s">
        <v>25</v>
      </c>
      <c r="E16" s="66">
        <v>12</v>
      </c>
      <c r="F16" s="66">
        <v>30</v>
      </c>
      <c r="G16" s="66">
        <v>3</v>
      </c>
      <c r="H16" s="81" t="s">
        <v>115</v>
      </c>
      <c r="I16" s="1"/>
    </row>
    <row r="17" spans="1:9" x14ac:dyDescent="0.3">
      <c r="A17" s="103" t="s">
        <v>113</v>
      </c>
      <c r="B17" s="103"/>
      <c r="C17" s="103"/>
      <c r="D17" s="103"/>
      <c r="E17" s="64">
        <f>SUM(E12:E16)</f>
        <v>31</v>
      </c>
      <c r="F17" s="64">
        <f>SUM(F12:F16)</f>
        <v>90</v>
      </c>
      <c r="G17" s="64">
        <f>SUM(G12:G16)</f>
        <v>12</v>
      </c>
      <c r="H17" s="65" t="s">
        <v>114</v>
      </c>
      <c r="I17" s="1"/>
    </row>
    <row r="18" spans="1:9" x14ac:dyDescent="0.3">
      <c r="A18" s="104">
        <v>3</v>
      </c>
      <c r="B18" s="105" t="s">
        <v>26</v>
      </c>
      <c r="C18" s="106" t="s">
        <v>220</v>
      </c>
      <c r="D18" s="79" t="s">
        <v>221</v>
      </c>
      <c r="E18" s="79">
        <v>6</v>
      </c>
      <c r="F18" s="67">
        <v>20</v>
      </c>
      <c r="G18" s="67">
        <v>2</v>
      </c>
      <c r="H18" s="97" t="s">
        <v>224</v>
      </c>
      <c r="I18" s="1"/>
    </row>
    <row r="19" spans="1:9" x14ac:dyDescent="0.3">
      <c r="A19" s="104"/>
      <c r="B19" s="105"/>
      <c r="C19" s="107"/>
      <c r="D19" s="79" t="s">
        <v>222</v>
      </c>
      <c r="E19" s="79">
        <v>10</v>
      </c>
      <c r="F19" s="67">
        <v>30</v>
      </c>
      <c r="G19" s="67">
        <v>3</v>
      </c>
      <c r="H19" s="97"/>
      <c r="I19" s="1"/>
    </row>
    <row r="20" spans="1:9" x14ac:dyDescent="0.3">
      <c r="A20" s="104"/>
      <c r="B20" s="105"/>
      <c r="C20" s="108"/>
      <c r="D20" s="79" t="s">
        <v>223</v>
      </c>
      <c r="E20" s="79">
        <v>8</v>
      </c>
      <c r="F20" s="67">
        <v>24</v>
      </c>
      <c r="G20" s="67">
        <v>3</v>
      </c>
      <c r="H20" s="97"/>
      <c r="I20" s="1"/>
    </row>
    <row r="21" spans="1:9" x14ac:dyDescent="0.3">
      <c r="A21" s="104"/>
      <c r="B21" s="105"/>
      <c r="C21" s="79" t="s">
        <v>236</v>
      </c>
      <c r="D21" s="79" t="s">
        <v>27</v>
      </c>
      <c r="E21" s="79">
        <v>10</v>
      </c>
      <c r="F21" s="67">
        <v>20</v>
      </c>
      <c r="G21" s="67">
        <v>2</v>
      </c>
      <c r="H21" s="89" t="s">
        <v>237</v>
      </c>
      <c r="I21" s="1"/>
    </row>
    <row r="22" spans="1:9" ht="28.8" customHeight="1" x14ac:dyDescent="0.3">
      <c r="A22" s="104"/>
      <c r="B22" s="105"/>
      <c r="C22" s="106" t="s">
        <v>116</v>
      </c>
      <c r="D22" s="79" t="s">
        <v>28</v>
      </c>
      <c r="E22" s="79">
        <v>24</v>
      </c>
      <c r="F22" s="67">
        <v>24</v>
      </c>
      <c r="G22" s="67">
        <v>2</v>
      </c>
      <c r="H22" s="81" t="s">
        <v>29</v>
      </c>
      <c r="I22" s="1"/>
    </row>
    <row r="23" spans="1:9" x14ac:dyDescent="0.3">
      <c r="A23" s="104"/>
      <c r="B23" s="105"/>
      <c r="C23" s="107"/>
      <c r="D23" s="79" t="s">
        <v>30</v>
      </c>
      <c r="E23" s="79">
        <v>20</v>
      </c>
      <c r="F23" s="67">
        <v>20</v>
      </c>
      <c r="G23" s="67">
        <v>2</v>
      </c>
      <c r="H23" s="63" t="s">
        <v>14</v>
      </c>
      <c r="I23" s="1"/>
    </row>
    <row r="24" spans="1:9" ht="14.4" customHeight="1" x14ac:dyDescent="0.3">
      <c r="A24" s="104"/>
      <c r="B24" s="105"/>
      <c r="C24" s="107"/>
      <c r="D24" s="79" t="s">
        <v>117</v>
      </c>
      <c r="E24" s="79">
        <v>6</v>
      </c>
      <c r="F24" s="67">
        <v>20</v>
      </c>
      <c r="G24" s="67">
        <v>2</v>
      </c>
      <c r="H24" s="81" t="s">
        <v>118</v>
      </c>
      <c r="I24" s="1"/>
    </row>
    <row r="25" spans="1:9" ht="28.8" x14ac:dyDescent="0.3">
      <c r="A25" s="104"/>
      <c r="B25" s="105"/>
      <c r="C25" s="108"/>
      <c r="D25" s="79" t="s">
        <v>204</v>
      </c>
      <c r="E25" s="79">
        <v>16</v>
      </c>
      <c r="F25" s="67">
        <v>24</v>
      </c>
      <c r="G25" s="67">
        <v>2</v>
      </c>
      <c r="H25" s="86" t="s">
        <v>253</v>
      </c>
      <c r="I25" s="1"/>
    </row>
    <row r="26" spans="1:9" ht="28.8" x14ac:dyDescent="0.3">
      <c r="A26" s="104"/>
      <c r="B26" s="105"/>
      <c r="C26" s="106" t="s">
        <v>205</v>
      </c>
      <c r="D26" s="79" t="s">
        <v>207</v>
      </c>
      <c r="E26" s="79">
        <v>6</v>
      </c>
      <c r="F26" s="67">
        <v>9</v>
      </c>
      <c r="G26" s="67">
        <v>1</v>
      </c>
      <c r="H26" s="101" t="s">
        <v>210</v>
      </c>
      <c r="I26" s="1"/>
    </row>
    <row r="27" spans="1:9" ht="28.8" x14ac:dyDescent="0.3">
      <c r="A27" s="104"/>
      <c r="B27" s="105"/>
      <c r="C27" s="107"/>
      <c r="D27" s="79" t="s">
        <v>208</v>
      </c>
      <c r="E27" s="79">
        <v>4</v>
      </c>
      <c r="F27" s="67">
        <v>7</v>
      </c>
      <c r="G27" s="67">
        <v>1</v>
      </c>
      <c r="H27" s="102"/>
      <c r="I27" s="1"/>
    </row>
    <row r="28" spans="1:9" ht="28.8" x14ac:dyDescent="0.3">
      <c r="A28" s="104"/>
      <c r="B28" s="105"/>
      <c r="C28" s="107"/>
      <c r="D28" s="79" t="s">
        <v>209</v>
      </c>
      <c r="E28" s="79">
        <v>3</v>
      </c>
      <c r="F28" s="67">
        <v>6</v>
      </c>
      <c r="G28" s="67">
        <v>1</v>
      </c>
      <c r="H28" s="102"/>
      <c r="I28" s="1"/>
    </row>
    <row r="29" spans="1:9" x14ac:dyDescent="0.3">
      <c r="A29" s="104"/>
      <c r="B29" s="105"/>
      <c r="C29" s="106" t="s">
        <v>211</v>
      </c>
      <c r="D29" s="79" t="s">
        <v>212</v>
      </c>
      <c r="E29" s="79">
        <v>5</v>
      </c>
      <c r="F29" s="67">
        <v>8</v>
      </c>
      <c r="G29" s="67">
        <v>1</v>
      </c>
      <c r="H29" s="101" t="s">
        <v>213</v>
      </c>
      <c r="I29" s="1"/>
    </row>
    <row r="30" spans="1:9" x14ac:dyDescent="0.3">
      <c r="A30" s="104"/>
      <c r="B30" s="105"/>
      <c r="C30" s="107"/>
      <c r="D30" s="79" t="s">
        <v>215</v>
      </c>
      <c r="E30" s="79">
        <v>4</v>
      </c>
      <c r="F30" s="67">
        <v>6</v>
      </c>
      <c r="G30" s="67">
        <v>1</v>
      </c>
      <c r="H30" s="101"/>
      <c r="I30" s="1"/>
    </row>
    <row r="31" spans="1:9" x14ac:dyDescent="0.3">
      <c r="A31" s="104"/>
      <c r="B31" s="105"/>
      <c r="C31" s="107"/>
      <c r="D31" s="79" t="s">
        <v>216</v>
      </c>
      <c r="E31" s="79">
        <v>7</v>
      </c>
      <c r="F31" s="67">
        <v>10</v>
      </c>
      <c r="G31" s="67">
        <v>1</v>
      </c>
      <c r="H31" s="101"/>
      <c r="I31" s="1"/>
    </row>
    <row r="32" spans="1:9" x14ac:dyDescent="0.3">
      <c r="A32" s="104"/>
      <c r="B32" s="105"/>
      <c r="C32" s="107"/>
      <c r="D32" s="79" t="s">
        <v>217</v>
      </c>
      <c r="E32" s="79">
        <v>5</v>
      </c>
      <c r="F32" s="67">
        <v>8</v>
      </c>
      <c r="G32" s="67">
        <v>1</v>
      </c>
      <c r="H32" s="101"/>
      <c r="I32" s="1"/>
    </row>
    <row r="33" spans="1:9" x14ac:dyDescent="0.3">
      <c r="A33" s="104"/>
      <c r="B33" s="105"/>
      <c r="C33" s="108"/>
      <c r="D33" s="79" t="s">
        <v>218</v>
      </c>
      <c r="E33" s="79">
        <v>4</v>
      </c>
      <c r="F33" s="67">
        <v>6</v>
      </c>
      <c r="G33" s="67">
        <v>1</v>
      </c>
      <c r="H33" s="101"/>
      <c r="I33" s="1"/>
    </row>
    <row r="34" spans="1:9" x14ac:dyDescent="0.3">
      <c r="A34" s="103" t="s">
        <v>113</v>
      </c>
      <c r="B34" s="103"/>
      <c r="C34" s="103"/>
      <c r="D34" s="103"/>
      <c r="E34" s="64">
        <f>SUM(E18:E33)</f>
        <v>138</v>
      </c>
      <c r="F34" s="64">
        <f>SUM(F18:F33)</f>
        <v>242</v>
      </c>
      <c r="G34" s="64">
        <f>SUM(G18:G33)</f>
        <v>26</v>
      </c>
      <c r="H34" s="65" t="s">
        <v>114</v>
      </c>
      <c r="I34" s="1"/>
    </row>
    <row r="35" spans="1:9" ht="28.8" x14ac:dyDescent="0.3">
      <c r="A35" s="59" t="s">
        <v>0</v>
      </c>
      <c r="B35" s="59" t="s">
        <v>1</v>
      </c>
      <c r="C35" s="59" t="s">
        <v>2</v>
      </c>
      <c r="D35" s="59" t="s">
        <v>3</v>
      </c>
      <c r="E35" s="59" t="s">
        <v>106</v>
      </c>
      <c r="F35" s="59" t="s">
        <v>107</v>
      </c>
      <c r="G35" s="59" t="s">
        <v>108</v>
      </c>
      <c r="H35" s="59" t="s">
        <v>4</v>
      </c>
      <c r="I35" s="1"/>
    </row>
    <row r="36" spans="1:9" x14ac:dyDescent="0.3">
      <c r="A36" s="119">
        <v>4</v>
      </c>
      <c r="B36" s="120" t="s">
        <v>31</v>
      </c>
      <c r="C36" s="119" t="s">
        <v>32</v>
      </c>
      <c r="D36" s="68" t="s">
        <v>34</v>
      </c>
      <c r="E36" s="68">
        <v>10</v>
      </c>
      <c r="F36" s="68">
        <v>20</v>
      </c>
      <c r="G36" s="68">
        <v>3</v>
      </c>
      <c r="H36" s="63" t="s">
        <v>33</v>
      </c>
      <c r="I36" s="1"/>
    </row>
    <row r="37" spans="1:9" x14ac:dyDescent="0.3">
      <c r="A37" s="119"/>
      <c r="B37" s="120"/>
      <c r="C37" s="119"/>
      <c r="D37" s="68" t="s">
        <v>35</v>
      </c>
      <c r="E37" s="68">
        <v>8</v>
      </c>
      <c r="F37" s="68">
        <v>15</v>
      </c>
      <c r="G37" s="68">
        <v>2</v>
      </c>
      <c r="H37" s="63" t="s">
        <v>33</v>
      </c>
      <c r="I37" s="1"/>
    </row>
    <row r="38" spans="1:9" x14ac:dyDescent="0.3">
      <c r="A38" s="119"/>
      <c r="B38" s="120"/>
      <c r="C38" s="119"/>
      <c r="D38" s="68" t="s">
        <v>36</v>
      </c>
      <c r="E38" s="68">
        <v>5</v>
      </c>
      <c r="F38" s="68">
        <v>10</v>
      </c>
      <c r="G38" s="68">
        <v>1</v>
      </c>
      <c r="H38" s="63" t="s">
        <v>33</v>
      </c>
      <c r="I38" s="1"/>
    </row>
    <row r="39" spans="1:9" x14ac:dyDescent="0.3">
      <c r="A39" s="119"/>
      <c r="B39" s="120"/>
      <c r="C39" s="119"/>
      <c r="D39" s="68" t="s">
        <v>37</v>
      </c>
      <c r="E39" s="68">
        <v>8</v>
      </c>
      <c r="F39" s="68">
        <v>15</v>
      </c>
      <c r="G39" s="68">
        <v>2</v>
      </c>
      <c r="H39" s="63" t="s">
        <v>33</v>
      </c>
      <c r="I39" s="1"/>
    </row>
    <row r="40" spans="1:9" x14ac:dyDescent="0.3">
      <c r="A40" s="119"/>
      <c r="B40" s="120"/>
      <c r="C40" s="119"/>
      <c r="D40" s="68" t="s">
        <v>119</v>
      </c>
      <c r="E40" s="68">
        <v>6</v>
      </c>
      <c r="F40" s="68">
        <v>20</v>
      </c>
      <c r="G40" s="68">
        <v>3</v>
      </c>
      <c r="H40" s="63" t="s">
        <v>33</v>
      </c>
      <c r="I40" s="1"/>
    </row>
    <row r="41" spans="1:9" x14ac:dyDescent="0.3">
      <c r="A41" s="119"/>
      <c r="B41" s="120"/>
      <c r="C41" s="119"/>
      <c r="D41" s="68" t="s">
        <v>54</v>
      </c>
      <c r="E41" s="68">
        <v>7</v>
      </c>
      <c r="F41" s="68">
        <v>26</v>
      </c>
      <c r="G41" s="68">
        <v>3</v>
      </c>
      <c r="H41" s="121" t="s">
        <v>55</v>
      </c>
      <c r="I41" s="1"/>
    </row>
    <row r="42" spans="1:9" ht="28.8" x14ac:dyDescent="0.3">
      <c r="A42" s="119"/>
      <c r="B42" s="120"/>
      <c r="C42" s="119"/>
      <c r="D42" s="68" t="s">
        <v>56</v>
      </c>
      <c r="E42" s="68">
        <v>6</v>
      </c>
      <c r="F42" s="68">
        <v>23</v>
      </c>
      <c r="G42" s="68">
        <v>3</v>
      </c>
      <c r="H42" s="121"/>
      <c r="I42" s="1"/>
    </row>
    <row r="43" spans="1:9" x14ac:dyDescent="0.3">
      <c r="A43" s="119"/>
      <c r="B43" s="120"/>
      <c r="C43" s="119"/>
      <c r="D43" s="68" t="s">
        <v>57</v>
      </c>
      <c r="E43" s="68">
        <v>4</v>
      </c>
      <c r="F43" s="68">
        <v>20</v>
      </c>
      <c r="G43" s="68">
        <v>3</v>
      </c>
      <c r="H43" s="121"/>
      <c r="I43" s="1"/>
    </row>
    <row r="44" spans="1:9" x14ac:dyDescent="0.3">
      <c r="A44" s="119"/>
      <c r="B44" s="120"/>
      <c r="C44" s="119"/>
      <c r="D44" s="68" t="s">
        <v>58</v>
      </c>
      <c r="E44" s="68">
        <v>8</v>
      </c>
      <c r="F44" s="68">
        <v>24</v>
      </c>
      <c r="G44" s="68">
        <v>3</v>
      </c>
      <c r="H44" s="121"/>
      <c r="I44" s="1"/>
    </row>
    <row r="45" spans="1:9" x14ac:dyDescent="0.3">
      <c r="A45" s="119"/>
      <c r="B45" s="120"/>
      <c r="C45" s="119"/>
      <c r="D45" s="68" t="s">
        <v>59</v>
      </c>
      <c r="E45" s="68">
        <v>6</v>
      </c>
      <c r="F45" s="68">
        <v>20</v>
      </c>
      <c r="G45" s="68">
        <v>3</v>
      </c>
      <c r="H45" s="121"/>
      <c r="I45" s="1"/>
    </row>
    <row r="46" spans="1:9" ht="28.8" x14ac:dyDescent="0.3">
      <c r="A46" s="119"/>
      <c r="B46" s="120"/>
      <c r="C46" s="119"/>
      <c r="D46" s="68" t="s">
        <v>203</v>
      </c>
      <c r="E46" s="68">
        <v>24</v>
      </c>
      <c r="F46" s="68">
        <v>36</v>
      </c>
      <c r="G46" s="68">
        <v>3</v>
      </c>
      <c r="H46" s="69" t="s">
        <v>254</v>
      </c>
      <c r="I46" s="1"/>
    </row>
    <row r="47" spans="1:9" x14ac:dyDescent="0.3">
      <c r="A47" s="96" t="s">
        <v>120</v>
      </c>
      <c r="B47" s="96"/>
      <c r="C47" s="96"/>
      <c r="D47" s="96"/>
      <c r="E47" s="71">
        <f>SUM(E36:E46)</f>
        <v>92</v>
      </c>
      <c r="F47" s="71">
        <f>SUM(F36:F46)</f>
        <v>229</v>
      </c>
      <c r="G47" s="71">
        <f>SUM(G36:G46)</f>
        <v>29</v>
      </c>
      <c r="H47" s="70"/>
      <c r="I47" s="1"/>
    </row>
    <row r="48" spans="1:9" x14ac:dyDescent="0.3">
      <c r="A48" s="100">
        <v>5</v>
      </c>
      <c r="B48" s="99" t="s">
        <v>31</v>
      </c>
      <c r="C48" s="98" t="s">
        <v>38</v>
      </c>
      <c r="D48" s="82" t="s">
        <v>39</v>
      </c>
      <c r="E48" s="72">
        <v>5</v>
      </c>
      <c r="F48" s="72">
        <v>30</v>
      </c>
      <c r="G48" s="72">
        <v>2</v>
      </c>
      <c r="H48" s="97" t="s">
        <v>40</v>
      </c>
      <c r="I48" s="1"/>
    </row>
    <row r="49" spans="1:9" x14ac:dyDescent="0.3">
      <c r="A49" s="100"/>
      <c r="B49" s="99"/>
      <c r="C49" s="98"/>
      <c r="D49" s="82" t="s">
        <v>41</v>
      </c>
      <c r="E49" s="72">
        <v>4</v>
      </c>
      <c r="F49" s="72">
        <v>25</v>
      </c>
      <c r="G49" s="72">
        <v>1</v>
      </c>
      <c r="H49" s="97"/>
      <c r="I49" s="1"/>
    </row>
    <row r="50" spans="1:9" x14ac:dyDescent="0.3">
      <c r="A50" s="100"/>
      <c r="B50" s="99"/>
      <c r="C50" s="98"/>
      <c r="D50" s="82" t="s">
        <v>42</v>
      </c>
      <c r="E50" s="72">
        <v>8</v>
      </c>
      <c r="F50" s="72">
        <v>30</v>
      </c>
      <c r="G50" s="72">
        <v>2</v>
      </c>
      <c r="H50" s="97"/>
      <c r="I50" s="1"/>
    </row>
    <row r="51" spans="1:9" x14ac:dyDescent="0.3">
      <c r="A51" s="100"/>
      <c r="B51" s="99"/>
      <c r="C51" s="98"/>
      <c r="D51" s="82" t="s">
        <v>43</v>
      </c>
      <c r="E51" s="72">
        <v>4</v>
      </c>
      <c r="F51" s="72">
        <v>25</v>
      </c>
      <c r="G51" s="72">
        <v>2</v>
      </c>
      <c r="H51" s="97"/>
      <c r="I51" s="1"/>
    </row>
    <row r="52" spans="1:9" x14ac:dyDescent="0.3">
      <c r="A52" s="100"/>
      <c r="B52" s="99"/>
      <c r="C52" s="98"/>
      <c r="D52" s="82" t="s">
        <v>44</v>
      </c>
      <c r="E52" s="72">
        <v>4</v>
      </c>
      <c r="F52" s="72">
        <v>26</v>
      </c>
      <c r="G52" s="72">
        <v>3</v>
      </c>
      <c r="H52" s="97"/>
      <c r="I52" s="1"/>
    </row>
    <row r="53" spans="1:9" x14ac:dyDescent="0.3">
      <c r="A53" s="100"/>
      <c r="B53" s="99"/>
      <c r="C53" s="95" t="s">
        <v>121</v>
      </c>
      <c r="D53" s="82" t="s">
        <v>45</v>
      </c>
      <c r="E53" s="72">
        <v>1</v>
      </c>
      <c r="F53" s="72">
        <v>2</v>
      </c>
      <c r="G53" s="72">
        <v>1</v>
      </c>
      <c r="H53" s="97" t="s">
        <v>46</v>
      </c>
      <c r="I53" s="1"/>
    </row>
    <row r="54" spans="1:9" x14ac:dyDescent="0.3">
      <c r="A54" s="100"/>
      <c r="B54" s="99"/>
      <c r="C54" s="95"/>
      <c r="D54" s="82" t="s">
        <v>47</v>
      </c>
      <c r="E54" s="72">
        <v>1</v>
      </c>
      <c r="F54" s="72">
        <v>2</v>
      </c>
      <c r="G54" s="72">
        <v>3</v>
      </c>
      <c r="H54" s="97"/>
      <c r="I54" s="1"/>
    </row>
    <row r="55" spans="1:9" x14ac:dyDescent="0.3">
      <c r="A55" s="100"/>
      <c r="B55" s="99"/>
      <c r="C55" s="95"/>
      <c r="D55" s="82" t="s">
        <v>48</v>
      </c>
      <c r="E55" s="72">
        <v>2</v>
      </c>
      <c r="F55" s="72">
        <v>3</v>
      </c>
      <c r="G55" s="72">
        <v>3</v>
      </c>
      <c r="H55" s="97"/>
      <c r="I55" s="1"/>
    </row>
    <row r="56" spans="1:9" x14ac:dyDescent="0.3">
      <c r="A56" s="100"/>
      <c r="B56" s="99"/>
      <c r="C56" s="95"/>
      <c r="D56" s="82" t="s">
        <v>49</v>
      </c>
      <c r="E56" s="72">
        <v>2</v>
      </c>
      <c r="F56" s="72">
        <v>3</v>
      </c>
      <c r="G56" s="72">
        <v>1</v>
      </c>
      <c r="H56" s="97"/>
      <c r="I56" s="1"/>
    </row>
    <row r="57" spans="1:9" x14ac:dyDescent="0.3">
      <c r="A57" s="100"/>
      <c r="B57" s="99"/>
      <c r="C57" s="95"/>
      <c r="D57" s="82" t="s">
        <v>50</v>
      </c>
      <c r="E57" s="72">
        <v>3</v>
      </c>
      <c r="F57" s="72">
        <v>5</v>
      </c>
      <c r="G57" s="72">
        <v>2</v>
      </c>
      <c r="H57" s="97"/>
      <c r="I57" s="1"/>
    </row>
    <row r="58" spans="1:9" x14ac:dyDescent="0.3">
      <c r="A58" s="100"/>
      <c r="B58" s="99"/>
      <c r="C58" s="95"/>
      <c r="D58" s="82" t="s">
        <v>51</v>
      </c>
      <c r="E58" s="72">
        <v>8</v>
      </c>
      <c r="F58" s="72">
        <v>12</v>
      </c>
      <c r="G58" s="72">
        <v>2</v>
      </c>
      <c r="H58" s="97"/>
      <c r="I58" s="1"/>
    </row>
    <row r="59" spans="1:9" x14ac:dyDescent="0.3">
      <c r="A59" s="100"/>
      <c r="B59" s="99"/>
      <c r="C59" s="95"/>
      <c r="D59" s="82" t="s">
        <v>52</v>
      </c>
      <c r="E59" s="72">
        <v>1</v>
      </c>
      <c r="F59" s="72">
        <v>1.5</v>
      </c>
      <c r="G59" s="72">
        <v>1</v>
      </c>
      <c r="H59" s="97"/>
      <c r="I59" s="1"/>
    </row>
    <row r="60" spans="1:9" x14ac:dyDescent="0.3">
      <c r="A60" s="100"/>
      <c r="B60" s="99"/>
      <c r="C60" s="95"/>
      <c r="D60" s="82" t="s">
        <v>53</v>
      </c>
      <c r="E60" s="72">
        <v>1</v>
      </c>
      <c r="F60" s="72">
        <v>1.5</v>
      </c>
      <c r="G60" s="72">
        <v>1</v>
      </c>
      <c r="H60" s="97"/>
      <c r="I60" s="1"/>
    </row>
    <row r="61" spans="1:9" x14ac:dyDescent="0.3">
      <c r="A61" s="100"/>
      <c r="B61" s="99"/>
      <c r="C61" s="95"/>
      <c r="D61" s="91" t="s">
        <v>227</v>
      </c>
      <c r="E61" s="72">
        <v>16</v>
      </c>
      <c r="F61" s="72">
        <v>30</v>
      </c>
      <c r="G61" s="72">
        <v>3</v>
      </c>
      <c r="H61" s="81" t="s">
        <v>228</v>
      </c>
      <c r="I61" s="1"/>
    </row>
    <row r="62" spans="1:9" x14ac:dyDescent="0.3">
      <c r="A62" s="103" t="s">
        <v>113</v>
      </c>
      <c r="B62" s="103"/>
      <c r="C62" s="103"/>
      <c r="D62" s="103"/>
      <c r="E62" s="64">
        <f>SUM(E48:E61)</f>
        <v>60</v>
      </c>
      <c r="F62" s="64">
        <f>SUM(F48:F61)</f>
        <v>196</v>
      </c>
      <c r="G62" s="64">
        <f>SUM(G48:G61)</f>
        <v>27</v>
      </c>
      <c r="H62" s="65" t="s">
        <v>114</v>
      </c>
      <c r="I62" s="1"/>
    </row>
    <row r="63" spans="1:9" x14ac:dyDescent="0.3">
      <c r="A63" s="118">
        <v>7</v>
      </c>
      <c r="B63" s="117" t="s">
        <v>31</v>
      </c>
      <c r="C63" s="112" t="s">
        <v>60</v>
      </c>
      <c r="D63" s="84" t="s">
        <v>61</v>
      </c>
      <c r="E63" s="73">
        <v>5</v>
      </c>
      <c r="F63" s="73">
        <v>15</v>
      </c>
      <c r="G63" s="73">
        <v>1</v>
      </c>
      <c r="H63" s="97" t="s">
        <v>62</v>
      </c>
      <c r="I63" s="1"/>
    </row>
    <row r="64" spans="1:9" x14ac:dyDescent="0.3">
      <c r="A64" s="118"/>
      <c r="B64" s="117"/>
      <c r="C64" s="112"/>
      <c r="D64" s="84" t="s">
        <v>63</v>
      </c>
      <c r="E64" s="73">
        <v>3</v>
      </c>
      <c r="F64" s="73">
        <v>12</v>
      </c>
      <c r="G64" s="73">
        <v>2</v>
      </c>
      <c r="H64" s="97"/>
      <c r="I64" s="1"/>
    </row>
    <row r="65" spans="1:9" x14ac:dyDescent="0.3">
      <c r="A65" s="118"/>
      <c r="B65" s="117"/>
      <c r="C65" s="112"/>
      <c r="D65" s="84" t="s">
        <v>64</v>
      </c>
      <c r="E65" s="73">
        <v>1</v>
      </c>
      <c r="F65" s="73">
        <v>5</v>
      </c>
      <c r="G65" s="73">
        <v>1</v>
      </c>
      <c r="H65" s="97"/>
      <c r="I65" s="1"/>
    </row>
    <row r="66" spans="1:9" x14ac:dyDescent="0.3">
      <c r="A66" s="118"/>
      <c r="B66" s="117"/>
      <c r="C66" s="112"/>
      <c r="D66" s="84" t="s">
        <v>65</v>
      </c>
      <c r="E66" s="73">
        <v>3</v>
      </c>
      <c r="F66" s="73">
        <v>12</v>
      </c>
      <c r="G66" s="73">
        <v>2</v>
      </c>
      <c r="H66" s="97"/>
      <c r="I66" s="1"/>
    </row>
    <row r="67" spans="1:9" x14ac:dyDescent="0.3">
      <c r="A67" s="118"/>
      <c r="B67" s="117"/>
      <c r="C67" s="112"/>
      <c r="D67" s="84" t="s">
        <v>66</v>
      </c>
      <c r="E67" s="73">
        <v>3</v>
      </c>
      <c r="F67" s="73">
        <v>12</v>
      </c>
      <c r="G67" s="73">
        <v>2</v>
      </c>
      <c r="H67" s="97"/>
      <c r="I67" s="1"/>
    </row>
    <row r="68" spans="1:9" x14ac:dyDescent="0.3">
      <c r="A68" s="118"/>
      <c r="B68" s="117"/>
      <c r="C68" s="112"/>
      <c r="D68" s="84" t="s">
        <v>67</v>
      </c>
      <c r="E68" s="73">
        <v>2</v>
      </c>
      <c r="F68" s="73">
        <v>10</v>
      </c>
      <c r="G68" s="73">
        <v>2</v>
      </c>
      <c r="H68" s="97"/>
      <c r="I68" s="1"/>
    </row>
    <row r="69" spans="1:9" x14ac:dyDescent="0.3">
      <c r="A69" s="118"/>
      <c r="B69" s="117"/>
      <c r="C69" s="112"/>
      <c r="D69" s="84" t="s">
        <v>68</v>
      </c>
      <c r="E69" s="73">
        <v>3</v>
      </c>
      <c r="F69" s="73">
        <v>12</v>
      </c>
      <c r="G69" s="73">
        <v>2</v>
      </c>
      <c r="H69" s="97"/>
      <c r="I69" s="1"/>
    </row>
    <row r="70" spans="1:9" x14ac:dyDescent="0.3">
      <c r="A70" s="118"/>
      <c r="B70" s="117"/>
      <c r="C70" s="112"/>
      <c r="D70" s="84" t="s">
        <v>69</v>
      </c>
      <c r="E70" s="73">
        <v>2</v>
      </c>
      <c r="F70" s="73">
        <v>10</v>
      </c>
      <c r="G70" s="73">
        <v>2</v>
      </c>
      <c r="H70" s="97"/>
      <c r="I70" s="1"/>
    </row>
    <row r="71" spans="1:9" x14ac:dyDescent="0.3">
      <c r="A71" s="118"/>
      <c r="B71" s="117"/>
      <c r="C71" s="112"/>
      <c r="D71" s="84" t="s">
        <v>70</v>
      </c>
      <c r="E71" s="73">
        <v>2</v>
      </c>
      <c r="F71" s="73">
        <v>10</v>
      </c>
      <c r="G71" s="73">
        <v>2</v>
      </c>
      <c r="H71" s="97"/>
      <c r="I71" s="1"/>
    </row>
    <row r="72" spans="1:9" x14ac:dyDescent="0.3">
      <c r="A72" s="118"/>
      <c r="B72" s="117"/>
      <c r="C72" s="112"/>
      <c r="D72" s="84" t="s">
        <v>71</v>
      </c>
      <c r="E72" s="73">
        <v>4</v>
      </c>
      <c r="F72" s="73">
        <v>15</v>
      </c>
      <c r="G72" s="73">
        <v>2</v>
      </c>
      <c r="H72" s="97"/>
      <c r="I72" s="1"/>
    </row>
    <row r="73" spans="1:9" x14ac:dyDescent="0.3">
      <c r="A73" s="118"/>
      <c r="B73" s="117"/>
      <c r="C73" s="112"/>
      <c r="D73" s="84" t="s">
        <v>72</v>
      </c>
      <c r="E73" s="73">
        <v>3</v>
      </c>
      <c r="F73" s="73">
        <v>12</v>
      </c>
      <c r="G73" s="73">
        <v>2</v>
      </c>
      <c r="H73" s="97"/>
      <c r="I73" s="1"/>
    </row>
    <row r="74" spans="1:9" x14ac:dyDescent="0.3">
      <c r="A74" s="118"/>
      <c r="B74" s="117"/>
      <c r="C74" s="112"/>
      <c r="D74" s="84" t="s">
        <v>73</v>
      </c>
      <c r="E74" s="73">
        <v>1</v>
      </c>
      <c r="F74" s="73">
        <v>5</v>
      </c>
      <c r="G74" s="73">
        <v>1</v>
      </c>
      <c r="H74" s="97"/>
      <c r="I74" s="1"/>
    </row>
    <row r="75" spans="1:9" x14ac:dyDescent="0.3">
      <c r="A75" s="118"/>
      <c r="B75" s="117"/>
      <c r="C75" s="116" t="s">
        <v>74</v>
      </c>
      <c r="D75" s="84" t="s">
        <v>75</v>
      </c>
      <c r="E75" s="73">
        <v>3</v>
      </c>
      <c r="F75" s="73">
        <v>12</v>
      </c>
      <c r="G75" s="73">
        <v>1</v>
      </c>
      <c r="H75" s="97" t="s">
        <v>76</v>
      </c>
      <c r="I75" s="1"/>
    </row>
    <row r="76" spans="1:9" x14ac:dyDescent="0.3">
      <c r="A76" s="118"/>
      <c r="B76" s="117"/>
      <c r="C76" s="116"/>
      <c r="D76" s="84" t="s">
        <v>77</v>
      </c>
      <c r="E76" s="73">
        <v>2</v>
      </c>
      <c r="F76" s="73">
        <v>10</v>
      </c>
      <c r="G76" s="73">
        <v>1</v>
      </c>
      <c r="H76" s="97"/>
      <c r="I76" s="1"/>
    </row>
    <row r="77" spans="1:9" x14ac:dyDescent="0.3">
      <c r="A77" s="118"/>
      <c r="B77" s="117"/>
      <c r="C77" s="116"/>
      <c r="D77" s="84" t="s">
        <v>78</v>
      </c>
      <c r="E77" s="73">
        <v>3</v>
      </c>
      <c r="F77" s="73">
        <v>12</v>
      </c>
      <c r="G77" s="73">
        <v>1</v>
      </c>
      <c r="H77" s="97"/>
      <c r="I77" s="1"/>
    </row>
    <row r="78" spans="1:9" x14ac:dyDescent="0.3">
      <c r="A78" s="118"/>
      <c r="B78" s="117"/>
      <c r="C78" s="116"/>
      <c r="D78" s="90" t="s">
        <v>239</v>
      </c>
      <c r="E78" s="73">
        <v>3</v>
      </c>
      <c r="F78" s="73">
        <v>10</v>
      </c>
      <c r="G78" s="73">
        <v>2</v>
      </c>
      <c r="H78" s="81" t="s">
        <v>14</v>
      </c>
      <c r="I78" s="1"/>
    </row>
    <row r="79" spans="1:9" x14ac:dyDescent="0.3">
      <c r="A79" s="103" t="s">
        <v>113</v>
      </c>
      <c r="B79" s="103"/>
      <c r="C79" s="103"/>
      <c r="D79" s="103"/>
      <c r="E79" s="64">
        <f>SUM(E63:E78)</f>
        <v>43</v>
      </c>
      <c r="F79" s="64">
        <f>SUM(F63:F78)</f>
        <v>174</v>
      </c>
      <c r="G79" s="64">
        <f>SUM(G63:G78)</f>
        <v>26</v>
      </c>
      <c r="H79" s="63" t="s">
        <v>114</v>
      </c>
      <c r="I79" s="1"/>
    </row>
    <row r="80" spans="1:9" x14ac:dyDescent="0.3">
      <c r="A80" s="114">
        <v>8</v>
      </c>
      <c r="B80" s="113" t="s">
        <v>79</v>
      </c>
      <c r="C80" s="74" t="s">
        <v>114</v>
      </c>
      <c r="D80" s="75" t="s">
        <v>80</v>
      </c>
      <c r="E80" s="75">
        <v>8</v>
      </c>
      <c r="F80" s="75">
        <v>16</v>
      </c>
      <c r="G80" s="75">
        <v>1</v>
      </c>
      <c r="H80" s="76" t="s">
        <v>14</v>
      </c>
      <c r="I80" s="1"/>
    </row>
    <row r="81" spans="1:9" x14ac:dyDescent="0.3">
      <c r="A81" s="114"/>
      <c r="B81" s="113"/>
      <c r="C81" s="113" t="s">
        <v>122</v>
      </c>
      <c r="D81" s="75" t="s">
        <v>123</v>
      </c>
      <c r="E81" s="75">
        <v>3</v>
      </c>
      <c r="F81" s="75">
        <v>5</v>
      </c>
      <c r="G81" s="75">
        <v>1</v>
      </c>
      <c r="H81" s="115" t="s">
        <v>83</v>
      </c>
      <c r="I81" s="1"/>
    </row>
    <row r="82" spans="1:9" x14ac:dyDescent="0.3">
      <c r="A82" s="114"/>
      <c r="B82" s="113"/>
      <c r="C82" s="113"/>
      <c r="D82" s="77" t="s">
        <v>124</v>
      </c>
      <c r="E82" s="75">
        <v>3</v>
      </c>
      <c r="F82" s="75">
        <v>5</v>
      </c>
      <c r="G82" s="75">
        <v>1</v>
      </c>
      <c r="H82" s="115"/>
      <c r="I82" s="1"/>
    </row>
    <row r="83" spans="1:9" x14ac:dyDescent="0.3">
      <c r="A83" s="114"/>
      <c r="B83" s="113"/>
      <c r="C83" s="113"/>
      <c r="D83" s="75" t="s">
        <v>125</v>
      </c>
      <c r="E83" s="75">
        <v>4</v>
      </c>
      <c r="F83" s="75">
        <v>6</v>
      </c>
      <c r="G83" s="75">
        <v>1</v>
      </c>
      <c r="H83" s="115"/>
      <c r="I83" s="1"/>
    </row>
    <row r="84" spans="1:9" x14ac:dyDescent="0.3">
      <c r="A84" s="114"/>
      <c r="B84" s="113"/>
      <c r="C84" s="113"/>
      <c r="D84" s="75" t="s">
        <v>126</v>
      </c>
      <c r="E84" s="75">
        <v>16</v>
      </c>
      <c r="F84" s="75">
        <v>16</v>
      </c>
      <c r="G84" s="75"/>
      <c r="H84" s="85" t="s">
        <v>14</v>
      </c>
      <c r="I84" s="1"/>
    </row>
    <row r="85" spans="1:9" x14ac:dyDescent="0.3">
      <c r="A85" s="114"/>
      <c r="B85" s="113"/>
      <c r="C85" s="74" t="s">
        <v>114</v>
      </c>
      <c r="D85" s="75" t="s">
        <v>81</v>
      </c>
      <c r="E85" s="75">
        <v>150</v>
      </c>
      <c r="F85" s="75">
        <v>150</v>
      </c>
      <c r="G85" s="75">
        <v>5</v>
      </c>
      <c r="H85" s="76" t="s">
        <v>82</v>
      </c>
      <c r="I85" s="1"/>
    </row>
    <row r="86" spans="1:9" x14ac:dyDescent="0.3">
      <c r="A86" s="103" t="s">
        <v>113</v>
      </c>
      <c r="B86" s="103"/>
      <c r="C86" s="103"/>
      <c r="D86" s="103"/>
      <c r="E86" s="64">
        <f>SUM(E80:E85)</f>
        <v>184</v>
      </c>
      <c r="F86" s="64">
        <f>SUM(F80:F85)</f>
        <v>198</v>
      </c>
      <c r="G86" s="64">
        <f>SUM(G80:G85)</f>
        <v>9</v>
      </c>
      <c r="H86" s="63" t="s">
        <v>114</v>
      </c>
      <c r="I86" s="1"/>
    </row>
    <row r="90" spans="1:9" x14ac:dyDescent="0.3">
      <c r="D90" s="2"/>
    </row>
  </sheetData>
  <autoFilter ref="A2:I89" xr:uid="{609E91AD-45C1-47FD-B48D-D927D7FEF8A7}"/>
  <mergeCells count="45">
    <mergeCell ref="A36:A46"/>
    <mergeCell ref="B36:B46"/>
    <mergeCell ref="C36:C46"/>
    <mergeCell ref="H41:H45"/>
    <mergeCell ref="A34:D34"/>
    <mergeCell ref="A3:A10"/>
    <mergeCell ref="B3:B10"/>
    <mergeCell ref="C7:C10"/>
    <mergeCell ref="A11:D11"/>
    <mergeCell ref="C3:C4"/>
    <mergeCell ref="C5:C6"/>
    <mergeCell ref="A12:A16"/>
    <mergeCell ref="B12:B16"/>
    <mergeCell ref="C26:C28"/>
    <mergeCell ref="A79:D79"/>
    <mergeCell ref="H75:H77"/>
    <mergeCell ref="A62:D62"/>
    <mergeCell ref="A86:D86"/>
    <mergeCell ref="C63:C74"/>
    <mergeCell ref="C81:C84"/>
    <mergeCell ref="B80:B85"/>
    <mergeCell ref="A80:A85"/>
    <mergeCell ref="H81:H83"/>
    <mergeCell ref="C75:C78"/>
    <mergeCell ref="B63:B78"/>
    <mergeCell ref="A63:A78"/>
    <mergeCell ref="H63:H74"/>
    <mergeCell ref="H26:H28"/>
    <mergeCell ref="H12:H14"/>
    <mergeCell ref="A17:D17"/>
    <mergeCell ref="A18:A33"/>
    <mergeCell ref="B18:B33"/>
    <mergeCell ref="C18:C20"/>
    <mergeCell ref="H18:H20"/>
    <mergeCell ref="C29:C33"/>
    <mergeCell ref="H29:H33"/>
    <mergeCell ref="C22:C25"/>
    <mergeCell ref="C12:C15"/>
    <mergeCell ref="C53:C61"/>
    <mergeCell ref="A47:D47"/>
    <mergeCell ref="H48:H52"/>
    <mergeCell ref="H53:H60"/>
    <mergeCell ref="C48:C52"/>
    <mergeCell ref="B48:B61"/>
    <mergeCell ref="A48:A61"/>
  </mergeCells>
  <hyperlinks>
    <hyperlink ref="H3" r:id="rId1" xr:uid="{F7AB5F6D-0898-47BF-BBD4-81ACA3C8E82F}"/>
    <hyperlink ref="H12" r:id="rId2" xr:uid="{081F6893-8523-449F-8B93-ACF8A0F5F958}"/>
    <hyperlink ref="H15" r:id="rId3" xr:uid="{DB0BDC8F-8DF2-454F-A957-AABBFDE89862}"/>
    <hyperlink ref="H16" r:id="rId4" xr:uid="{4A3FE6EA-4AFB-4CA9-8B05-C5AB61E089ED}"/>
    <hyperlink ref="H18" r:id="rId5" xr:uid="{8DCE1580-500D-45E2-A5A2-9E5143ADB78C}"/>
    <hyperlink ref="H21" r:id="rId6" xr:uid="{00ED27D7-A90F-4CAB-BEB4-77701C80DC26}"/>
    <hyperlink ref="H22" r:id="rId7" xr:uid="{FE92393F-68EF-440E-8867-36B61A09BE94}"/>
    <hyperlink ref="H48" r:id="rId8" xr:uid="{A5300422-0E5B-447D-91A7-57F0A90F4A62}"/>
    <hyperlink ref="H53" r:id="rId9" xr:uid="{A8918909-CBC4-466E-9E46-0944A40225E5}"/>
    <hyperlink ref="H63" r:id="rId10" location="courses" xr:uid="{054DD7D4-4A41-4B0D-8E51-4CEFEAC69A43}"/>
    <hyperlink ref="H75" r:id="rId11" location="TABINDEX=0&amp;SUBTABINDEX=0" xr:uid="{67F15FAE-D18F-415D-BE0B-D7D0704BEA29}"/>
    <hyperlink ref="H81" r:id="rId12" xr:uid="{C8058B5B-7974-446A-B1EB-CF20DBD7441D}"/>
    <hyperlink ref="H4" r:id="rId13" xr:uid="{65587D24-0110-4F1E-87F7-FD375FA1ACAC}"/>
    <hyperlink ref="H5" r:id="rId14" xr:uid="{C4BC4D8C-4C66-427D-B9BE-C8B9177EB1ED}"/>
    <hyperlink ref="H8" r:id="rId15" xr:uid="{D44AF764-7D99-4DFB-B1E3-DCE0DA4863F1}"/>
    <hyperlink ref="H5:H6" r:id="rId16" display="https://www.coursera.org/specializations/data-structures-algorithms" xr:uid="{B283F306-3881-4261-BDCD-4AFC9F945740}"/>
    <hyperlink ref="H9" r:id="rId17" xr:uid="{64DE640D-CEE9-43B1-A45F-7484AE5B98AA}"/>
    <hyperlink ref="H41" r:id="rId18" xr:uid="{9143385D-8AB8-40E9-B6D3-B4F4216C1C01}"/>
    <hyperlink ref="H24" r:id="rId19" xr:uid="{6314E4E1-D7EF-4146-8702-D9CAE0F58602}"/>
    <hyperlink ref="H48:H52" r:id="rId20" display="https://www.coursera.org/specializations/data-science-python" xr:uid="{B4F7D666-4669-4F6C-A538-D7B8CEE89B27}"/>
    <hyperlink ref="H75:H77" r:id="rId21" location="TABINDEX=0&amp;SUBTABINDEX=0" display="https://www.myworkday.com/curemd/d/inst/1$23455/23455$140.htmld#TABINDEX=0&amp;SUBTABINDEX=0" xr:uid="{DF645BCD-FEEA-4826-910E-C9BAB61A2995}"/>
    <hyperlink ref="H81:H83" r:id="rId22" display="https://www.coursera.org/specializations/leadership-communication-engineers" xr:uid="{E22C428C-ECE7-4225-A084-EF990588B9B0}"/>
    <hyperlink ref="H46" r:id="rId23" display="https://www.youtube.com/playlist?list=PLwRJQ4m4UJjPIvv4kgBkvu_uygrV3ut_U" xr:uid="{8D45319A-A147-4B2B-BB41-5A99F8928F4F}"/>
    <hyperlink ref="H91" r:id="rId24" location="courses" display="https://www.coursera.org/specializations/chatgpt-free-ai-tools-to-excel#courses" xr:uid="{632FC72C-B5E2-439D-A35E-9BB7AD48D06D}"/>
    <hyperlink ref="H26" r:id="rId25" location="courses" xr:uid="{DCBE1A11-B5A7-4598-A8E3-01AA18CB1554}"/>
    <hyperlink ref="H29" r:id="rId26" xr:uid="{B82084F4-AFCD-480C-9BF4-7CB3A8E44FBF}"/>
    <hyperlink ref="H61" r:id="rId27" xr:uid="{7B169F10-B01C-4031-8906-25854B2EC497}"/>
    <hyperlink ref="H25" r:id="rId28" display="https://www.youtube.com/playlist?list=PLKOGQ4KczC_pa2r4UXb3wOIbBeU6Qeeoy" xr:uid="{376EF09A-E2CD-4A1D-A888-AA7CC2199E8F}"/>
  </hyperlinks>
  <pageMargins left="0.7" right="0.7" top="0.75" bottom="0.75" header="0.3" footer="0.3"/>
  <pageSetup orientation="portrait" horizontalDpi="200" verticalDpi="200"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0FEC-66B0-4486-8F2D-1D200D1D9982}">
  <dimension ref="A1:H77"/>
  <sheetViews>
    <sheetView tabSelected="1" zoomScale="115" zoomScaleNormal="115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2.88671875" bestFit="1" customWidth="1"/>
    <col min="2" max="2" width="47.88671875" customWidth="1"/>
    <col min="3" max="3" width="49.109375" customWidth="1"/>
    <col min="4" max="4" width="26.6640625" style="45" bestFit="1" customWidth="1"/>
    <col min="5" max="5" width="17.5546875" style="45" bestFit="1" customWidth="1"/>
    <col min="6" max="6" width="23.33203125" style="45" bestFit="1" customWidth="1"/>
    <col min="7" max="7" width="9.44140625" style="45" bestFit="1" customWidth="1"/>
    <col min="8" max="8" width="8.6640625" style="45" bestFit="1" customWidth="1"/>
  </cols>
  <sheetData>
    <row r="1" spans="1:8" s="35" customFormat="1" x14ac:dyDescent="0.3">
      <c r="A1" s="11" t="s">
        <v>84</v>
      </c>
      <c r="B1" s="11" t="s">
        <v>2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</row>
    <row r="2" spans="1:8" ht="28.8" x14ac:dyDescent="0.3">
      <c r="A2" s="128" t="s">
        <v>134</v>
      </c>
      <c r="B2" s="46" t="s">
        <v>5</v>
      </c>
      <c r="C2" s="46" t="s">
        <v>6</v>
      </c>
      <c r="D2" s="12" t="s">
        <v>135</v>
      </c>
      <c r="E2" s="12" t="s">
        <v>136</v>
      </c>
      <c r="F2" s="129">
        <f>SUM(H2:H7)</f>
        <v>72</v>
      </c>
      <c r="G2" s="12">
        <v>2</v>
      </c>
      <c r="H2" s="12">
        <f>10*3</f>
        <v>30</v>
      </c>
    </row>
    <row r="3" spans="1:8" ht="28.8" x14ac:dyDescent="0.3">
      <c r="A3" s="128"/>
      <c r="B3" s="46" t="s">
        <v>17</v>
      </c>
      <c r="C3" s="46" t="s">
        <v>257</v>
      </c>
      <c r="D3" s="12" t="s">
        <v>137</v>
      </c>
      <c r="E3" s="12" t="s">
        <v>136</v>
      </c>
      <c r="F3" s="129"/>
      <c r="G3" s="12">
        <v>2</v>
      </c>
      <c r="H3" s="12">
        <v>14</v>
      </c>
    </row>
    <row r="4" spans="1:8" x14ac:dyDescent="0.3">
      <c r="A4" s="128"/>
      <c r="B4" s="46" t="s">
        <v>5</v>
      </c>
      <c r="C4" s="46" t="s">
        <v>140</v>
      </c>
      <c r="D4" s="12" t="s">
        <v>135</v>
      </c>
      <c r="E4" s="12" t="s">
        <v>136</v>
      </c>
      <c r="F4" s="129"/>
      <c r="G4" s="12">
        <v>2</v>
      </c>
      <c r="H4" s="12">
        <v>20</v>
      </c>
    </row>
    <row r="5" spans="1:8" x14ac:dyDescent="0.3">
      <c r="A5" s="128"/>
      <c r="B5" s="46" t="s">
        <v>22</v>
      </c>
      <c r="C5" s="46" t="s">
        <v>141</v>
      </c>
      <c r="D5" s="12" t="s">
        <v>142</v>
      </c>
      <c r="E5" s="12" t="s">
        <v>14</v>
      </c>
      <c r="F5" s="129"/>
      <c r="G5" s="12">
        <v>2</v>
      </c>
      <c r="H5" s="12">
        <v>3</v>
      </c>
    </row>
    <row r="6" spans="1:8" x14ac:dyDescent="0.3">
      <c r="A6" s="128"/>
      <c r="B6" s="46" t="s">
        <v>122</v>
      </c>
      <c r="C6" s="46" t="s">
        <v>143</v>
      </c>
      <c r="D6" s="12" t="s">
        <v>260</v>
      </c>
      <c r="E6" s="12" t="s">
        <v>14</v>
      </c>
      <c r="F6" s="129"/>
      <c r="G6" s="12">
        <v>2</v>
      </c>
      <c r="H6" s="12">
        <v>2</v>
      </c>
    </row>
    <row r="7" spans="1:8" x14ac:dyDescent="0.3">
      <c r="A7" s="128"/>
      <c r="B7" s="46" t="s">
        <v>116</v>
      </c>
      <c r="C7" s="46" t="s">
        <v>144</v>
      </c>
      <c r="D7" s="12" t="s">
        <v>145</v>
      </c>
      <c r="E7" s="12" t="s">
        <v>136</v>
      </c>
      <c r="F7" s="129"/>
      <c r="G7" s="12">
        <v>2</v>
      </c>
      <c r="H7" s="12">
        <v>3</v>
      </c>
    </row>
    <row r="8" spans="1:8" ht="43.2" x14ac:dyDescent="0.3">
      <c r="A8" s="130" t="s">
        <v>146</v>
      </c>
      <c r="B8" s="47" t="s">
        <v>5</v>
      </c>
      <c r="C8" s="47" t="s">
        <v>147</v>
      </c>
      <c r="D8" s="13" t="s">
        <v>137</v>
      </c>
      <c r="E8" s="13" t="s">
        <v>136</v>
      </c>
      <c r="F8" s="131">
        <f>SUM(H8:H14)</f>
        <v>92</v>
      </c>
      <c r="G8" s="13">
        <v>2</v>
      </c>
      <c r="H8" s="13">
        <v>12</v>
      </c>
    </row>
    <row r="9" spans="1:8" x14ac:dyDescent="0.3">
      <c r="A9" s="130"/>
      <c r="B9" s="48" t="s">
        <v>5</v>
      </c>
      <c r="C9" s="48" t="s">
        <v>255</v>
      </c>
      <c r="D9" s="13" t="s">
        <v>135</v>
      </c>
      <c r="E9" s="13" t="s">
        <v>136</v>
      </c>
      <c r="F9" s="131"/>
      <c r="G9" s="13">
        <v>2</v>
      </c>
      <c r="H9" s="13">
        <f>15+25</f>
        <v>40</v>
      </c>
    </row>
    <row r="10" spans="1:8" ht="28.8" x14ac:dyDescent="0.3">
      <c r="A10" s="130"/>
      <c r="B10" s="48" t="s">
        <v>17</v>
      </c>
      <c r="C10" s="48" t="s">
        <v>258</v>
      </c>
      <c r="D10" s="13" t="s">
        <v>137</v>
      </c>
      <c r="E10" s="13" t="s">
        <v>136</v>
      </c>
      <c r="F10" s="131"/>
      <c r="G10" s="13">
        <v>2</v>
      </c>
      <c r="H10" s="13">
        <v>12</v>
      </c>
    </row>
    <row r="11" spans="1:8" x14ac:dyDescent="0.3">
      <c r="A11" s="130"/>
      <c r="B11" s="48" t="s">
        <v>12</v>
      </c>
      <c r="C11" s="48" t="s">
        <v>138</v>
      </c>
      <c r="D11" s="13" t="s">
        <v>139</v>
      </c>
      <c r="E11" s="13" t="s">
        <v>14</v>
      </c>
      <c r="F11" s="131"/>
      <c r="G11" s="13">
        <v>2</v>
      </c>
      <c r="H11" s="13">
        <v>20</v>
      </c>
    </row>
    <row r="12" spans="1:8" x14ac:dyDescent="0.3">
      <c r="A12" s="130"/>
      <c r="B12" s="48" t="s">
        <v>22</v>
      </c>
      <c r="C12" s="48" t="s">
        <v>149</v>
      </c>
      <c r="D12" s="13" t="s">
        <v>142</v>
      </c>
      <c r="E12" s="13" t="s">
        <v>14</v>
      </c>
      <c r="F12" s="131"/>
      <c r="G12" s="13">
        <v>2</v>
      </c>
      <c r="H12" s="13">
        <v>3</v>
      </c>
    </row>
    <row r="13" spans="1:8" x14ac:dyDescent="0.3">
      <c r="A13" s="130"/>
      <c r="B13" s="48" t="s">
        <v>122</v>
      </c>
      <c r="C13" s="48" t="s">
        <v>150</v>
      </c>
      <c r="D13" s="13" t="s">
        <v>260</v>
      </c>
      <c r="E13" s="13" t="s">
        <v>14</v>
      </c>
      <c r="F13" s="131"/>
      <c r="G13" s="13">
        <v>2</v>
      </c>
      <c r="H13" s="13">
        <v>2</v>
      </c>
    </row>
    <row r="14" spans="1:8" x14ac:dyDescent="0.3">
      <c r="A14" s="130"/>
      <c r="B14" s="47" t="s">
        <v>116</v>
      </c>
      <c r="C14" s="48" t="s">
        <v>151</v>
      </c>
      <c r="D14" s="13" t="s">
        <v>145</v>
      </c>
      <c r="E14" s="13" t="s">
        <v>136</v>
      </c>
      <c r="F14" s="131"/>
      <c r="G14" s="13">
        <v>2</v>
      </c>
      <c r="H14" s="13">
        <v>3</v>
      </c>
    </row>
    <row r="15" spans="1:8" ht="43.2" x14ac:dyDescent="0.3">
      <c r="A15" s="140" t="s">
        <v>152</v>
      </c>
      <c r="B15" s="49" t="s">
        <v>5</v>
      </c>
      <c r="C15" s="49" t="s">
        <v>243</v>
      </c>
      <c r="D15" s="27" t="s">
        <v>137</v>
      </c>
      <c r="E15" s="27" t="s">
        <v>136</v>
      </c>
      <c r="F15" s="139">
        <f>SUM(H15:H22)</f>
        <v>84</v>
      </c>
      <c r="G15" s="14">
        <v>2</v>
      </c>
      <c r="H15" s="14">
        <f>12</f>
        <v>12</v>
      </c>
    </row>
    <row r="16" spans="1:8" x14ac:dyDescent="0.3">
      <c r="A16" s="140"/>
      <c r="B16" s="49" t="s">
        <v>12</v>
      </c>
      <c r="C16" s="50" t="s">
        <v>153</v>
      </c>
      <c r="D16" s="14" t="s">
        <v>238</v>
      </c>
      <c r="E16" s="27" t="s">
        <v>14</v>
      </c>
      <c r="F16" s="139"/>
      <c r="G16" s="14">
        <v>2</v>
      </c>
      <c r="H16" s="14">
        <v>24</v>
      </c>
    </row>
    <row r="17" spans="1:8" x14ac:dyDescent="0.3">
      <c r="A17" s="140"/>
      <c r="B17" s="49" t="s">
        <v>5</v>
      </c>
      <c r="C17" s="50" t="s">
        <v>154</v>
      </c>
      <c r="D17" s="14" t="s">
        <v>155</v>
      </c>
      <c r="E17" s="14" t="s">
        <v>156</v>
      </c>
      <c r="F17" s="139"/>
      <c r="G17" s="14">
        <v>1</v>
      </c>
      <c r="H17" s="14">
        <v>20</v>
      </c>
    </row>
    <row r="18" spans="1:8" x14ac:dyDescent="0.3">
      <c r="A18" s="140"/>
      <c r="B18" s="49" t="s">
        <v>12</v>
      </c>
      <c r="C18" s="50" t="s">
        <v>148</v>
      </c>
      <c r="D18" s="14" t="s">
        <v>139</v>
      </c>
      <c r="E18" s="14" t="s">
        <v>14</v>
      </c>
      <c r="F18" s="139"/>
      <c r="G18" s="14">
        <v>1</v>
      </c>
      <c r="H18" s="14">
        <v>10</v>
      </c>
    </row>
    <row r="19" spans="1:8" ht="28.8" x14ac:dyDescent="0.3">
      <c r="A19" s="140"/>
      <c r="B19" s="49" t="s">
        <v>17</v>
      </c>
      <c r="C19" s="49" t="s">
        <v>259</v>
      </c>
      <c r="D19" s="14" t="s">
        <v>137</v>
      </c>
      <c r="E19" s="14" t="s">
        <v>136</v>
      </c>
      <c r="F19" s="139"/>
      <c r="G19" s="14">
        <v>2</v>
      </c>
      <c r="H19" s="14">
        <v>10</v>
      </c>
    </row>
    <row r="20" spans="1:8" x14ac:dyDescent="0.3">
      <c r="A20" s="140"/>
      <c r="B20" s="49" t="s">
        <v>116</v>
      </c>
      <c r="C20" s="49" t="s">
        <v>157</v>
      </c>
      <c r="D20" s="14" t="s">
        <v>145</v>
      </c>
      <c r="E20" s="14" t="s">
        <v>136</v>
      </c>
      <c r="F20" s="139"/>
      <c r="G20" s="14">
        <v>2</v>
      </c>
      <c r="H20" s="14">
        <v>3</v>
      </c>
    </row>
    <row r="21" spans="1:8" x14ac:dyDescent="0.3">
      <c r="A21" s="140"/>
      <c r="B21" s="49" t="s">
        <v>122</v>
      </c>
      <c r="C21" s="49" t="s">
        <v>158</v>
      </c>
      <c r="D21" s="14" t="s">
        <v>260</v>
      </c>
      <c r="E21" s="14" t="s">
        <v>14</v>
      </c>
      <c r="F21" s="139"/>
      <c r="G21" s="14">
        <v>2</v>
      </c>
      <c r="H21" s="14">
        <v>2</v>
      </c>
    </row>
    <row r="22" spans="1:8" x14ac:dyDescent="0.3">
      <c r="A22" s="140"/>
      <c r="B22" s="49" t="s">
        <v>22</v>
      </c>
      <c r="C22" s="49" t="s">
        <v>159</v>
      </c>
      <c r="D22" s="14" t="s">
        <v>142</v>
      </c>
      <c r="E22" s="14" t="s">
        <v>14</v>
      </c>
      <c r="F22" s="139"/>
      <c r="G22" s="14">
        <v>2</v>
      </c>
      <c r="H22" s="14">
        <v>3</v>
      </c>
    </row>
    <row r="23" spans="1:8" ht="172.8" x14ac:dyDescent="0.3">
      <c r="A23" s="132" t="s">
        <v>160</v>
      </c>
      <c r="B23" s="39" t="s">
        <v>22</v>
      </c>
      <c r="C23" s="39" t="s">
        <v>244</v>
      </c>
      <c r="D23" s="42" t="s">
        <v>137</v>
      </c>
      <c r="E23" s="42" t="s">
        <v>136</v>
      </c>
      <c r="F23" s="135">
        <f>SUM(H23:H29)</f>
        <v>92</v>
      </c>
      <c r="G23" s="42">
        <v>2</v>
      </c>
      <c r="H23" s="42">
        <v>24</v>
      </c>
    </row>
    <row r="24" spans="1:8" ht="28.8" x14ac:dyDescent="0.3">
      <c r="A24" s="133"/>
      <c r="B24" s="39" t="s">
        <v>12</v>
      </c>
      <c r="C24" s="39" t="s">
        <v>111</v>
      </c>
      <c r="D24" s="42" t="s">
        <v>168</v>
      </c>
      <c r="E24" s="42" t="s">
        <v>169</v>
      </c>
      <c r="F24" s="136"/>
      <c r="G24" s="42">
        <v>2</v>
      </c>
      <c r="H24" s="42">
        <v>4</v>
      </c>
    </row>
    <row r="25" spans="1:8" x14ac:dyDescent="0.3">
      <c r="A25" s="133"/>
      <c r="B25" s="39" t="s">
        <v>5</v>
      </c>
      <c r="C25" s="40" t="s">
        <v>161</v>
      </c>
      <c r="D25" s="42" t="s">
        <v>155</v>
      </c>
      <c r="E25" s="42" t="s">
        <v>156</v>
      </c>
      <c r="F25" s="136"/>
      <c r="G25" s="42">
        <v>2</v>
      </c>
      <c r="H25" s="42">
        <v>40</v>
      </c>
    </row>
    <row r="26" spans="1:8" x14ac:dyDescent="0.3">
      <c r="A26" s="133"/>
      <c r="B26" s="39" t="s">
        <v>162</v>
      </c>
      <c r="C26" s="39" t="s">
        <v>80</v>
      </c>
      <c r="D26" s="42" t="s">
        <v>163</v>
      </c>
      <c r="E26" s="42" t="s">
        <v>14</v>
      </c>
      <c r="F26" s="136"/>
      <c r="G26" s="42">
        <v>2</v>
      </c>
      <c r="H26" s="42">
        <v>16</v>
      </c>
    </row>
    <row r="27" spans="1:8" x14ac:dyDescent="0.3">
      <c r="A27" s="133"/>
      <c r="B27" s="40" t="s">
        <v>22</v>
      </c>
      <c r="C27" s="40" t="s">
        <v>164</v>
      </c>
      <c r="D27" s="43" t="s">
        <v>142</v>
      </c>
      <c r="E27" s="43" t="s">
        <v>14</v>
      </c>
      <c r="F27" s="136"/>
      <c r="G27" s="42">
        <v>2</v>
      </c>
      <c r="H27" s="42">
        <v>3</v>
      </c>
    </row>
    <row r="28" spans="1:8" x14ac:dyDescent="0.3">
      <c r="A28" s="133"/>
      <c r="B28" s="40" t="s">
        <v>122</v>
      </c>
      <c r="C28" s="40" t="s">
        <v>165</v>
      </c>
      <c r="D28" s="43" t="s">
        <v>260</v>
      </c>
      <c r="E28" s="43" t="s">
        <v>14</v>
      </c>
      <c r="F28" s="136"/>
      <c r="G28" s="42">
        <v>2</v>
      </c>
      <c r="H28" s="42">
        <v>2</v>
      </c>
    </row>
    <row r="29" spans="1:8" x14ac:dyDescent="0.3">
      <c r="A29" s="134"/>
      <c r="B29" s="40" t="s">
        <v>116</v>
      </c>
      <c r="C29" s="40" t="s">
        <v>166</v>
      </c>
      <c r="D29" s="43" t="s">
        <v>145</v>
      </c>
      <c r="E29" s="43" t="s">
        <v>136</v>
      </c>
      <c r="F29" s="137"/>
      <c r="G29" s="42">
        <v>2</v>
      </c>
      <c r="H29" s="42">
        <v>3</v>
      </c>
    </row>
    <row r="30" spans="1:8" ht="86.4" x14ac:dyDescent="0.3">
      <c r="A30" s="142" t="s">
        <v>92</v>
      </c>
      <c r="B30" s="41" t="s">
        <v>26</v>
      </c>
      <c r="C30" s="41" t="s">
        <v>226</v>
      </c>
      <c r="D30" s="44" t="s">
        <v>174</v>
      </c>
      <c r="E30" s="44" t="s">
        <v>136</v>
      </c>
      <c r="F30" s="145">
        <f>SUM(H30:H34)</f>
        <v>80</v>
      </c>
      <c r="G30" s="44">
        <v>2</v>
      </c>
      <c r="H30" s="44">
        <f>20+30</f>
        <v>50</v>
      </c>
    </row>
    <row r="31" spans="1:8" x14ac:dyDescent="0.3">
      <c r="A31" s="143"/>
      <c r="B31" s="41" t="s">
        <v>12</v>
      </c>
      <c r="C31" s="41" t="s">
        <v>235</v>
      </c>
      <c r="D31" s="44" t="s">
        <v>135</v>
      </c>
      <c r="E31" s="44" t="s">
        <v>136</v>
      </c>
      <c r="F31" s="146"/>
      <c r="G31" s="44">
        <v>2</v>
      </c>
      <c r="H31" s="44">
        <v>22</v>
      </c>
    </row>
    <row r="32" spans="1:8" x14ac:dyDescent="0.3">
      <c r="A32" s="143"/>
      <c r="B32" s="41" t="s">
        <v>22</v>
      </c>
      <c r="C32" s="41" t="s">
        <v>170</v>
      </c>
      <c r="D32" s="44" t="s">
        <v>142</v>
      </c>
      <c r="E32" s="44" t="s">
        <v>14</v>
      </c>
      <c r="F32" s="146"/>
      <c r="G32" s="44">
        <v>1</v>
      </c>
      <c r="H32" s="44">
        <v>3</v>
      </c>
    </row>
    <row r="33" spans="1:8" x14ac:dyDescent="0.3">
      <c r="A33" s="143"/>
      <c r="B33" s="41" t="s">
        <v>122</v>
      </c>
      <c r="C33" s="41" t="s">
        <v>171</v>
      </c>
      <c r="D33" s="44" t="s">
        <v>260</v>
      </c>
      <c r="E33" s="44" t="s">
        <v>14</v>
      </c>
      <c r="F33" s="146"/>
      <c r="G33" s="44">
        <v>2</v>
      </c>
      <c r="H33" s="44">
        <v>2</v>
      </c>
    </row>
    <row r="34" spans="1:8" x14ac:dyDescent="0.3">
      <c r="A34" s="144"/>
      <c r="B34" s="41" t="s">
        <v>116</v>
      </c>
      <c r="C34" s="41" t="s">
        <v>172</v>
      </c>
      <c r="D34" s="44" t="s">
        <v>145</v>
      </c>
      <c r="E34" s="44" t="s">
        <v>136</v>
      </c>
      <c r="F34" s="147"/>
      <c r="G34" s="44">
        <v>2</v>
      </c>
      <c r="H34" s="44">
        <v>3</v>
      </c>
    </row>
    <row r="35" spans="1:8" x14ac:dyDescent="0.3">
      <c r="A35" s="148" t="s">
        <v>173</v>
      </c>
      <c r="B35" s="15" t="s">
        <v>26</v>
      </c>
      <c r="C35" s="15" t="s">
        <v>231</v>
      </c>
      <c r="D35" s="29" t="s">
        <v>155</v>
      </c>
      <c r="E35" s="29" t="s">
        <v>156</v>
      </c>
      <c r="F35" s="151">
        <f>SUM(H35:H41)</f>
        <v>92</v>
      </c>
      <c r="G35" s="29">
        <v>1</v>
      </c>
      <c r="H35" s="29">
        <v>20</v>
      </c>
    </row>
    <row r="36" spans="1:8" ht="57.6" x14ac:dyDescent="0.3">
      <c r="A36" s="149"/>
      <c r="B36" s="15" t="s">
        <v>26</v>
      </c>
      <c r="C36" s="15" t="s">
        <v>225</v>
      </c>
      <c r="D36" s="29" t="s">
        <v>174</v>
      </c>
      <c r="E36" s="29" t="s">
        <v>136</v>
      </c>
      <c r="F36" s="152"/>
      <c r="G36" s="29">
        <v>2</v>
      </c>
      <c r="H36" s="29">
        <v>24</v>
      </c>
    </row>
    <row r="37" spans="1:8" ht="115.2" x14ac:dyDescent="0.3">
      <c r="A37" s="149"/>
      <c r="B37" s="15" t="s">
        <v>26</v>
      </c>
      <c r="C37" s="80" t="s">
        <v>229</v>
      </c>
      <c r="D37" s="29" t="s">
        <v>230</v>
      </c>
      <c r="E37" s="29" t="s">
        <v>136</v>
      </c>
      <c r="F37" s="152"/>
      <c r="G37" s="29">
        <v>2</v>
      </c>
      <c r="H37" s="29">
        <f>9+7</f>
        <v>16</v>
      </c>
    </row>
    <row r="38" spans="1:8" x14ac:dyDescent="0.3">
      <c r="A38" s="149"/>
      <c r="B38" s="15" t="s">
        <v>26</v>
      </c>
      <c r="C38" s="15" t="s">
        <v>245</v>
      </c>
      <c r="D38" s="29" t="s">
        <v>246</v>
      </c>
      <c r="E38" s="29" t="s">
        <v>247</v>
      </c>
      <c r="F38" s="152"/>
      <c r="G38" s="29">
        <v>16</v>
      </c>
      <c r="H38" s="29">
        <v>24</v>
      </c>
    </row>
    <row r="39" spans="1:8" x14ac:dyDescent="0.3">
      <c r="A39" s="149"/>
      <c r="B39" s="15" t="s">
        <v>22</v>
      </c>
      <c r="C39" s="15" t="s">
        <v>175</v>
      </c>
      <c r="D39" s="29" t="s">
        <v>142</v>
      </c>
      <c r="E39" s="29" t="s">
        <v>14</v>
      </c>
      <c r="F39" s="152"/>
      <c r="G39" s="29">
        <v>1</v>
      </c>
      <c r="H39" s="29">
        <v>3</v>
      </c>
    </row>
    <row r="40" spans="1:8" x14ac:dyDescent="0.3">
      <c r="A40" s="149"/>
      <c r="B40" s="15" t="s">
        <v>122</v>
      </c>
      <c r="C40" s="15" t="s">
        <v>176</v>
      </c>
      <c r="D40" s="29" t="s">
        <v>260</v>
      </c>
      <c r="E40" s="29" t="s">
        <v>14</v>
      </c>
      <c r="F40" s="152"/>
      <c r="G40" s="29">
        <v>2</v>
      </c>
      <c r="H40" s="29">
        <v>2</v>
      </c>
    </row>
    <row r="41" spans="1:8" x14ac:dyDescent="0.3">
      <c r="A41" s="150"/>
      <c r="B41" s="15" t="s">
        <v>116</v>
      </c>
      <c r="C41" s="15" t="s">
        <v>177</v>
      </c>
      <c r="D41" s="29" t="s">
        <v>145</v>
      </c>
      <c r="E41" s="29" t="s">
        <v>136</v>
      </c>
      <c r="F41" s="153"/>
      <c r="G41" s="29">
        <v>1</v>
      </c>
      <c r="H41" s="29">
        <v>3</v>
      </c>
    </row>
    <row r="42" spans="1:8" x14ac:dyDescent="0.3">
      <c r="A42" s="159" t="s">
        <v>178</v>
      </c>
      <c r="B42" s="31" t="s">
        <v>26</v>
      </c>
      <c r="C42" s="31" t="s">
        <v>232</v>
      </c>
      <c r="D42" s="33" t="s">
        <v>155</v>
      </c>
      <c r="E42" s="33" t="s">
        <v>156</v>
      </c>
      <c r="F42" s="161">
        <f>SUM(H42:H48)</f>
        <v>89</v>
      </c>
      <c r="G42" s="30">
        <v>2</v>
      </c>
      <c r="H42" s="30">
        <v>40</v>
      </c>
    </row>
    <row r="43" spans="1:8" ht="28.8" x14ac:dyDescent="0.3">
      <c r="A43" s="159"/>
      <c r="B43" s="31" t="s">
        <v>236</v>
      </c>
      <c r="C43" s="31" t="s">
        <v>27</v>
      </c>
      <c r="D43" s="30" t="s">
        <v>135</v>
      </c>
      <c r="E43" s="33" t="s">
        <v>136</v>
      </c>
      <c r="F43" s="162"/>
      <c r="G43" s="30">
        <v>2</v>
      </c>
      <c r="H43" s="30">
        <v>20</v>
      </c>
    </row>
    <row r="44" spans="1:8" ht="57.6" x14ac:dyDescent="0.3">
      <c r="A44" s="159"/>
      <c r="B44" s="31" t="s">
        <v>26</v>
      </c>
      <c r="C44" s="31" t="s">
        <v>248</v>
      </c>
      <c r="D44" s="30" t="s">
        <v>230</v>
      </c>
      <c r="E44" s="33" t="s">
        <v>136</v>
      </c>
      <c r="F44" s="162"/>
      <c r="G44" s="30">
        <v>2</v>
      </c>
      <c r="H44" s="30">
        <v>6</v>
      </c>
    </row>
    <row r="45" spans="1:8" s="36" customFormat="1" x14ac:dyDescent="0.3">
      <c r="A45" s="159"/>
      <c r="B45" s="32" t="s">
        <v>116</v>
      </c>
      <c r="C45" s="32" t="s">
        <v>30</v>
      </c>
      <c r="D45" s="33" t="s">
        <v>179</v>
      </c>
      <c r="E45" s="33" t="s">
        <v>14</v>
      </c>
      <c r="F45" s="162"/>
      <c r="G45" s="33">
        <v>2</v>
      </c>
      <c r="H45" s="33">
        <v>15</v>
      </c>
    </row>
    <row r="46" spans="1:8" x14ac:dyDescent="0.3">
      <c r="A46" s="159"/>
      <c r="B46" s="31" t="s">
        <v>122</v>
      </c>
      <c r="C46" s="32" t="s">
        <v>180</v>
      </c>
      <c r="D46" s="30" t="s">
        <v>260</v>
      </c>
      <c r="E46" s="30" t="s">
        <v>14</v>
      </c>
      <c r="F46" s="162"/>
      <c r="G46" s="30">
        <v>2</v>
      </c>
      <c r="H46" s="30">
        <v>2</v>
      </c>
    </row>
    <row r="47" spans="1:8" x14ac:dyDescent="0.3">
      <c r="A47" s="159"/>
      <c r="B47" s="31" t="s">
        <v>22</v>
      </c>
      <c r="C47" s="32" t="s">
        <v>181</v>
      </c>
      <c r="D47" s="30" t="s">
        <v>142</v>
      </c>
      <c r="E47" s="30" t="s">
        <v>14</v>
      </c>
      <c r="F47" s="162"/>
      <c r="G47" s="30">
        <v>1</v>
      </c>
      <c r="H47" s="30">
        <v>3</v>
      </c>
    </row>
    <row r="48" spans="1:8" x14ac:dyDescent="0.3">
      <c r="A48" s="160"/>
      <c r="B48" s="31" t="s">
        <v>116</v>
      </c>
      <c r="C48" s="32" t="s">
        <v>182</v>
      </c>
      <c r="D48" s="30" t="s">
        <v>145</v>
      </c>
      <c r="E48" s="30" t="s">
        <v>136</v>
      </c>
      <c r="F48" s="163"/>
      <c r="G48" s="30">
        <v>2</v>
      </c>
      <c r="H48" s="30">
        <v>3</v>
      </c>
    </row>
    <row r="49" spans="1:8" ht="172.8" x14ac:dyDescent="0.3">
      <c r="A49" s="141" t="s">
        <v>95</v>
      </c>
      <c r="B49" s="28" t="s">
        <v>31</v>
      </c>
      <c r="C49" s="37" t="s">
        <v>183</v>
      </c>
      <c r="D49" s="17" t="s">
        <v>174</v>
      </c>
      <c r="E49" s="17" t="s">
        <v>136</v>
      </c>
      <c r="F49" s="16">
        <f>$H$55+$H$54+$H$53+$H$52+H49</f>
        <v>92</v>
      </c>
      <c r="G49" s="17">
        <v>2</v>
      </c>
      <c r="H49" s="17">
        <f>20+20+15+10+15</f>
        <v>80</v>
      </c>
    </row>
    <row r="50" spans="1:8" ht="230.4" x14ac:dyDescent="0.3">
      <c r="A50" s="141"/>
      <c r="B50" s="28" t="s">
        <v>31</v>
      </c>
      <c r="C50" s="37" t="s">
        <v>184</v>
      </c>
      <c r="D50" s="17" t="s">
        <v>167</v>
      </c>
      <c r="E50" s="17" t="s">
        <v>136</v>
      </c>
      <c r="F50" s="16">
        <f>$H$55+$H$54+$H$53+$H$52+H50</f>
        <v>90</v>
      </c>
      <c r="G50" s="17">
        <v>2</v>
      </c>
      <c r="H50" s="17">
        <f>15+12+5+12+12+10+12</f>
        <v>78</v>
      </c>
    </row>
    <row r="51" spans="1:8" ht="115.2" x14ac:dyDescent="0.3">
      <c r="A51" s="141"/>
      <c r="B51" s="28" t="s">
        <v>31</v>
      </c>
      <c r="C51" s="28" t="s">
        <v>250</v>
      </c>
      <c r="D51" s="17" t="s">
        <v>185</v>
      </c>
      <c r="E51" s="17" t="s">
        <v>136</v>
      </c>
      <c r="F51" s="16">
        <f>$H$55+$H$54+$H$53+$H$52+H51</f>
        <v>97</v>
      </c>
      <c r="G51" s="17">
        <v>2</v>
      </c>
      <c r="H51" s="17">
        <f>30+25+30</f>
        <v>85</v>
      </c>
    </row>
    <row r="52" spans="1:8" x14ac:dyDescent="0.3">
      <c r="A52" s="141"/>
      <c r="B52" s="28" t="s">
        <v>31</v>
      </c>
      <c r="C52" s="28" t="s">
        <v>127</v>
      </c>
      <c r="D52" s="17" t="s">
        <v>196</v>
      </c>
      <c r="E52" s="17" t="s">
        <v>136</v>
      </c>
      <c r="F52" s="16"/>
      <c r="G52" s="17">
        <v>1</v>
      </c>
      <c r="H52" s="17">
        <v>4</v>
      </c>
    </row>
    <row r="53" spans="1:8" x14ac:dyDescent="0.3">
      <c r="A53" s="141"/>
      <c r="B53" s="18" t="s">
        <v>22</v>
      </c>
      <c r="C53" s="18" t="s">
        <v>186</v>
      </c>
      <c r="D53" s="34" t="s">
        <v>142</v>
      </c>
      <c r="E53" s="34" t="s">
        <v>14</v>
      </c>
      <c r="F53" s="16"/>
      <c r="G53" s="16">
        <v>1</v>
      </c>
      <c r="H53" s="16">
        <v>3</v>
      </c>
    </row>
    <row r="54" spans="1:8" x14ac:dyDescent="0.3">
      <c r="A54" s="141"/>
      <c r="B54" s="18" t="s">
        <v>122</v>
      </c>
      <c r="C54" s="18" t="s">
        <v>187</v>
      </c>
      <c r="D54" s="34" t="s">
        <v>260</v>
      </c>
      <c r="E54" s="34" t="s">
        <v>14</v>
      </c>
      <c r="F54" s="16"/>
      <c r="G54" s="16">
        <v>2</v>
      </c>
      <c r="H54" s="16">
        <v>2</v>
      </c>
    </row>
    <row r="55" spans="1:8" x14ac:dyDescent="0.3">
      <c r="A55" s="141"/>
      <c r="B55" s="18" t="s">
        <v>116</v>
      </c>
      <c r="C55" s="18" t="s">
        <v>188</v>
      </c>
      <c r="D55" s="34" t="s">
        <v>145</v>
      </c>
      <c r="E55" s="34" t="s">
        <v>136</v>
      </c>
      <c r="F55" s="16"/>
      <c r="G55" s="17">
        <v>2</v>
      </c>
      <c r="H55" s="17">
        <v>3</v>
      </c>
    </row>
    <row r="56" spans="1:8" ht="129.6" x14ac:dyDescent="0.3">
      <c r="A56" s="156" t="s">
        <v>96</v>
      </c>
      <c r="B56" s="51" t="s">
        <v>31</v>
      </c>
      <c r="C56" s="52" t="s">
        <v>189</v>
      </c>
      <c r="D56" s="19" t="s">
        <v>174</v>
      </c>
      <c r="E56" s="19" t="s">
        <v>136</v>
      </c>
      <c r="F56" s="20">
        <f>H56+$H$59+$H$61+$H$60</f>
        <v>101</v>
      </c>
      <c r="G56" s="19">
        <v>2</v>
      </c>
      <c r="H56" s="19">
        <f>26+23+20</f>
        <v>69</v>
      </c>
    </row>
    <row r="57" spans="1:8" ht="216" x14ac:dyDescent="0.3">
      <c r="A57" s="156"/>
      <c r="B57" s="51" t="s">
        <v>31</v>
      </c>
      <c r="C57" s="52" t="s">
        <v>190</v>
      </c>
      <c r="D57" s="19" t="s">
        <v>167</v>
      </c>
      <c r="E57" s="19" t="s">
        <v>136</v>
      </c>
      <c r="F57" s="20">
        <f>H57+$H$59+$H$61+$H$60</f>
        <v>96</v>
      </c>
      <c r="G57" s="19">
        <v>2</v>
      </c>
      <c r="H57" s="19">
        <f>10+10+15+12+5+12</f>
        <v>64</v>
      </c>
    </row>
    <row r="58" spans="1:8" ht="244.8" x14ac:dyDescent="0.3">
      <c r="A58" s="156"/>
      <c r="B58" s="51" t="s">
        <v>31</v>
      </c>
      <c r="C58" s="51" t="s">
        <v>251</v>
      </c>
      <c r="D58" s="19" t="s">
        <v>185</v>
      </c>
      <c r="E58" s="19" t="s">
        <v>136</v>
      </c>
      <c r="F58" s="20">
        <f>H58+$H$59+$H$61+$H$60</f>
        <v>98</v>
      </c>
      <c r="G58" s="19">
        <v>2</v>
      </c>
      <c r="H58" s="19">
        <f>25+26+2+2+3+3+5</f>
        <v>66</v>
      </c>
    </row>
    <row r="59" spans="1:8" ht="72" x14ac:dyDescent="0.3">
      <c r="A59" s="156"/>
      <c r="B59" s="51" t="s">
        <v>214</v>
      </c>
      <c r="C59" s="53" t="s">
        <v>241</v>
      </c>
      <c r="D59" s="19" t="s">
        <v>191</v>
      </c>
      <c r="E59" s="19" t="s">
        <v>136</v>
      </c>
      <c r="F59" s="20"/>
      <c r="G59" s="19">
        <v>2</v>
      </c>
      <c r="H59" s="19">
        <f>8+6+10</f>
        <v>24</v>
      </c>
    </row>
    <row r="60" spans="1:8" x14ac:dyDescent="0.3">
      <c r="A60" s="156"/>
      <c r="B60" s="51" t="s">
        <v>31</v>
      </c>
      <c r="C60" s="53" t="s">
        <v>127</v>
      </c>
      <c r="D60" s="19" t="s">
        <v>196</v>
      </c>
      <c r="E60" s="19" t="s">
        <v>136</v>
      </c>
      <c r="F60" s="20"/>
      <c r="G60" s="19">
        <v>1</v>
      </c>
      <c r="H60" s="19">
        <v>6</v>
      </c>
    </row>
    <row r="61" spans="1:8" x14ac:dyDescent="0.3">
      <c r="A61" s="156"/>
      <c r="B61" s="51" t="s">
        <v>122</v>
      </c>
      <c r="C61" s="51" t="s">
        <v>192</v>
      </c>
      <c r="D61" s="19" t="s">
        <v>260</v>
      </c>
      <c r="E61" s="19" t="s">
        <v>14</v>
      </c>
      <c r="F61" s="20"/>
      <c r="G61" s="19">
        <v>2</v>
      </c>
      <c r="H61" s="19">
        <v>2</v>
      </c>
    </row>
    <row r="62" spans="1:8" ht="115.2" x14ac:dyDescent="0.3">
      <c r="A62" s="155" t="s">
        <v>97</v>
      </c>
      <c r="B62" s="54" t="s">
        <v>31</v>
      </c>
      <c r="C62" s="54" t="s">
        <v>249</v>
      </c>
      <c r="D62" s="22" t="s">
        <v>174</v>
      </c>
      <c r="E62" s="22" t="s">
        <v>136</v>
      </c>
      <c r="F62" s="22">
        <f>H62+H67+$H$69+$H$65</f>
        <v>109</v>
      </c>
      <c r="G62" s="22">
        <v>2</v>
      </c>
      <c r="H62" s="22">
        <f>24+20+36</f>
        <v>80</v>
      </c>
    </row>
    <row r="63" spans="1:8" ht="100.8" x14ac:dyDescent="0.3">
      <c r="A63" s="155"/>
      <c r="B63" s="54" t="s">
        <v>31</v>
      </c>
      <c r="C63" s="54" t="s">
        <v>240</v>
      </c>
      <c r="D63" s="22" t="s">
        <v>155</v>
      </c>
      <c r="E63" s="22" t="s">
        <v>136</v>
      </c>
      <c r="F63" s="22">
        <f>H63+H68+$H$69+$H$65</f>
        <v>81</v>
      </c>
      <c r="G63" s="22">
        <v>2</v>
      </c>
      <c r="H63" s="22">
        <f>10+12+10</f>
        <v>32</v>
      </c>
    </row>
    <row r="64" spans="1:8" ht="129.6" x14ac:dyDescent="0.3">
      <c r="A64" s="155"/>
      <c r="B64" s="54" t="s">
        <v>31</v>
      </c>
      <c r="C64" s="54" t="s">
        <v>252</v>
      </c>
      <c r="D64" s="22" t="s">
        <v>185</v>
      </c>
      <c r="E64" s="22" t="s">
        <v>136</v>
      </c>
      <c r="F64" s="22">
        <f>H64+H66+$H$69+$H$65</f>
        <v>94</v>
      </c>
      <c r="G64" s="22">
        <v>2</v>
      </c>
      <c r="H64" s="22">
        <f>12+1.5+1.5+30</f>
        <v>45</v>
      </c>
    </row>
    <row r="65" spans="1:8" ht="43.2" x14ac:dyDescent="0.3">
      <c r="A65" s="155"/>
      <c r="B65" s="54" t="s">
        <v>219</v>
      </c>
      <c r="C65" s="54" t="s">
        <v>242</v>
      </c>
      <c r="D65" s="22" t="s">
        <v>191</v>
      </c>
      <c r="E65" s="22" t="s">
        <v>136</v>
      </c>
      <c r="F65" s="22"/>
      <c r="G65" s="22">
        <v>2</v>
      </c>
      <c r="H65" s="22">
        <f>8+6</f>
        <v>14</v>
      </c>
    </row>
    <row r="66" spans="1:8" ht="28.8" x14ac:dyDescent="0.3">
      <c r="A66" s="155"/>
      <c r="B66" s="54" t="s">
        <v>79</v>
      </c>
      <c r="C66" s="54" t="s">
        <v>193</v>
      </c>
      <c r="D66" s="22" t="s">
        <v>155</v>
      </c>
      <c r="E66" s="22" t="s">
        <v>156</v>
      </c>
      <c r="F66" s="21"/>
      <c r="G66" s="23">
        <v>1</v>
      </c>
      <c r="H66" s="23">
        <v>30</v>
      </c>
    </row>
    <row r="67" spans="1:8" ht="28.8" x14ac:dyDescent="0.3">
      <c r="A67" s="155"/>
      <c r="B67" s="54" t="s">
        <v>79</v>
      </c>
      <c r="C67" s="54" t="s">
        <v>194</v>
      </c>
      <c r="D67" s="22" t="s">
        <v>155</v>
      </c>
      <c r="E67" s="22" t="s">
        <v>156</v>
      </c>
      <c r="F67" s="21"/>
      <c r="G67" s="23">
        <v>1</v>
      </c>
      <c r="H67" s="23">
        <v>10</v>
      </c>
    </row>
    <row r="68" spans="1:8" x14ac:dyDescent="0.3">
      <c r="A68" s="155"/>
      <c r="B68" s="54" t="s">
        <v>79</v>
      </c>
      <c r="C68" s="54" t="s">
        <v>195</v>
      </c>
      <c r="D68" s="22" t="s">
        <v>155</v>
      </c>
      <c r="E68" s="22" t="s">
        <v>136</v>
      </c>
      <c r="F68" s="23"/>
      <c r="G68" s="23">
        <v>1</v>
      </c>
      <c r="H68" s="23">
        <v>30</v>
      </c>
    </row>
    <row r="69" spans="1:8" x14ac:dyDescent="0.3">
      <c r="A69" s="155"/>
      <c r="B69" s="54" t="s">
        <v>122</v>
      </c>
      <c r="C69" s="54" t="s">
        <v>123</v>
      </c>
      <c r="D69" s="22" t="s">
        <v>137</v>
      </c>
      <c r="E69" s="22" t="s">
        <v>136</v>
      </c>
      <c r="F69" s="23"/>
      <c r="G69" s="23">
        <v>1</v>
      </c>
      <c r="H69" s="23">
        <v>5</v>
      </c>
    </row>
    <row r="70" spans="1:8" x14ac:dyDescent="0.3">
      <c r="A70" s="154" t="s">
        <v>105</v>
      </c>
      <c r="B70" s="38" t="s">
        <v>79</v>
      </c>
      <c r="C70" s="38" t="s">
        <v>197</v>
      </c>
      <c r="D70" s="24" t="s">
        <v>155</v>
      </c>
      <c r="E70" s="24" t="s">
        <v>156</v>
      </c>
      <c r="F70" s="157">
        <f>H70+$H$73</f>
        <v>90</v>
      </c>
      <c r="G70" s="24">
        <v>2</v>
      </c>
      <c r="H70" s="24">
        <v>85</v>
      </c>
    </row>
    <row r="71" spans="1:8" ht="28.8" x14ac:dyDescent="0.3">
      <c r="A71" s="154"/>
      <c r="B71" s="55" t="s">
        <v>79</v>
      </c>
      <c r="C71" s="55" t="s">
        <v>198</v>
      </c>
      <c r="D71" s="24" t="s">
        <v>155</v>
      </c>
      <c r="E71" s="24" t="s">
        <v>156</v>
      </c>
      <c r="F71" s="158"/>
      <c r="G71" s="25">
        <v>2</v>
      </c>
      <c r="H71" s="24">
        <v>85</v>
      </c>
    </row>
    <row r="72" spans="1:8" ht="28.8" x14ac:dyDescent="0.3">
      <c r="A72" s="154"/>
      <c r="B72" s="55" t="s">
        <v>79</v>
      </c>
      <c r="C72" s="55" t="s">
        <v>199</v>
      </c>
      <c r="D72" s="24" t="s">
        <v>155</v>
      </c>
      <c r="E72" s="24" t="s">
        <v>156</v>
      </c>
      <c r="F72" s="158"/>
      <c r="G72" s="24">
        <v>2</v>
      </c>
      <c r="H72" s="24">
        <v>85</v>
      </c>
    </row>
    <row r="73" spans="1:8" x14ac:dyDescent="0.3">
      <c r="A73" s="154"/>
      <c r="B73" s="55" t="s">
        <v>122</v>
      </c>
      <c r="C73" s="55" t="s">
        <v>124</v>
      </c>
      <c r="D73" s="24" t="s">
        <v>137</v>
      </c>
      <c r="E73" s="24" t="s">
        <v>136</v>
      </c>
      <c r="F73" s="24"/>
      <c r="G73" s="24">
        <v>1</v>
      </c>
      <c r="H73" s="24">
        <v>5</v>
      </c>
    </row>
    <row r="74" spans="1:8" x14ac:dyDescent="0.3">
      <c r="A74" s="138" t="s">
        <v>98</v>
      </c>
      <c r="B74" s="56" t="s">
        <v>79</v>
      </c>
      <c r="C74" s="56" t="s">
        <v>200</v>
      </c>
      <c r="D74" s="10" t="s">
        <v>155</v>
      </c>
      <c r="E74" s="10" t="s">
        <v>156</v>
      </c>
      <c r="F74" s="10">
        <f>150-H70-H68</f>
        <v>35</v>
      </c>
      <c r="G74" s="10">
        <v>1</v>
      </c>
      <c r="H74" s="10"/>
    </row>
    <row r="75" spans="1:8" ht="28.8" x14ac:dyDescent="0.3">
      <c r="A75" s="138"/>
      <c r="B75" s="56" t="s">
        <v>79</v>
      </c>
      <c r="C75" s="56" t="s">
        <v>201</v>
      </c>
      <c r="D75" s="10" t="s">
        <v>155</v>
      </c>
      <c r="E75" s="10" t="s">
        <v>156</v>
      </c>
      <c r="F75" s="10">
        <f>150-H72-H66</f>
        <v>35</v>
      </c>
      <c r="G75" s="10">
        <v>1</v>
      </c>
      <c r="H75" s="10"/>
    </row>
    <row r="76" spans="1:8" ht="28.8" x14ac:dyDescent="0.3">
      <c r="A76" s="138"/>
      <c r="B76" s="56" t="s">
        <v>79</v>
      </c>
      <c r="C76" s="56" t="s">
        <v>202</v>
      </c>
      <c r="D76" s="26" t="s">
        <v>155</v>
      </c>
      <c r="E76" s="26" t="s">
        <v>156</v>
      </c>
      <c r="F76" s="26">
        <f>150-H71-H67</f>
        <v>55</v>
      </c>
      <c r="G76" s="10">
        <v>1</v>
      </c>
      <c r="H76" s="10"/>
    </row>
    <row r="77" spans="1:8" x14ac:dyDescent="0.3">
      <c r="A77" s="138"/>
      <c r="B77" s="56" t="s">
        <v>122</v>
      </c>
      <c r="C77" s="56" t="s">
        <v>125</v>
      </c>
      <c r="D77" s="26" t="s">
        <v>137</v>
      </c>
      <c r="E77" s="26" t="s">
        <v>136</v>
      </c>
      <c r="F77" s="26"/>
      <c r="G77" s="10">
        <v>1</v>
      </c>
      <c r="H77" s="10">
        <v>6</v>
      </c>
    </row>
  </sheetData>
  <autoFilter ref="A1:H77" xr:uid="{50EE0FEC-66B0-4486-8F2D-1D200D1D9982}"/>
  <mergeCells count="20">
    <mergeCell ref="A74:A77"/>
    <mergeCell ref="F15:F22"/>
    <mergeCell ref="A15:A22"/>
    <mergeCell ref="A49:A55"/>
    <mergeCell ref="A30:A34"/>
    <mergeCell ref="F30:F34"/>
    <mergeCell ref="A35:A41"/>
    <mergeCell ref="F35:F41"/>
    <mergeCell ref="A70:A73"/>
    <mergeCell ref="A62:A69"/>
    <mergeCell ref="A56:A61"/>
    <mergeCell ref="F70:F72"/>
    <mergeCell ref="A42:A48"/>
    <mergeCell ref="F42:F48"/>
    <mergeCell ref="A2:A7"/>
    <mergeCell ref="F2:F7"/>
    <mergeCell ref="A8:A14"/>
    <mergeCell ref="F8:F14"/>
    <mergeCell ref="A23:A29"/>
    <mergeCell ref="F23:F29"/>
  </mergeCells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CE467D31312D48872F3959FF6A9D0D" ma:contentTypeVersion="18" ma:contentTypeDescription="Create a new document." ma:contentTypeScope="" ma:versionID="0354e17a374b8fa3938fd0bbeb1d7188">
  <xsd:schema xmlns:xsd="http://www.w3.org/2001/XMLSchema" xmlns:xs="http://www.w3.org/2001/XMLSchema" xmlns:p="http://schemas.microsoft.com/office/2006/metadata/properties" xmlns:ns2="187fb718-09ed-4086-8f54-cb621d76d9be" xmlns:ns3="958c4226-59ef-4f76-acde-a9336029946d" targetNamespace="http://schemas.microsoft.com/office/2006/metadata/properties" ma:root="true" ma:fieldsID="898a23e93cfe73e936918aa1d5c9164a" ns2:_="" ns3:_="">
    <xsd:import namespace="187fb718-09ed-4086-8f54-cb621d76d9be"/>
    <xsd:import namespace="958c4226-59ef-4f76-acde-a933602994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Imag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fb718-09ed-4086-8f54-cb621d76d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Images" ma:index="20" nillable="true" ma:displayName="Images" ma:format="Thumbnail" ma:internalName="Images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8d8871-522c-4e67-9b15-3f589a5b8b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gs" ma:index="25" nillable="true" ma:displayName="Tags" ma:description="Read Only" ma:format="Dropdown" ma:internalName="Tag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c4226-59ef-4f76-acde-a9336029946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2e85b0a-4073-4572-b431-6869e0fe7fd6}" ma:internalName="TaxCatchAll" ma:showField="CatchAllData" ma:web="958c4226-59ef-4f76-acde-a933602994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7fb718-09ed-4086-8f54-cb621d76d9be">
      <Terms xmlns="http://schemas.microsoft.com/office/infopath/2007/PartnerControls"/>
    </lcf76f155ced4ddcb4097134ff3c332f>
    <Images xmlns="187fb718-09ed-4086-8f54-cb621d76d9be" xsi:nil="true"/>
    <TaxCatchAll xmlns="958c4226-59ef-4f76-acde-a9336029946d" xsi:nil="true"/>
    <Tags xmlns="187fb718-09ed-4086-8f54-cb621d76d9be" xsi:nil="true"/>
  </documentManagement>
</p:properties>
</file>

<file path=customXml/itemProps1.xml><?xml version="1.0" encoding="utf-8"?>
<ds:datastoreItem xmlns:ds="http://schemas.openxmlformats.org/officeDocument/2006/customXml" ds:itemID="{FC2F92A4-3D9F-4F4F-A73F-8F8D2AC78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fb718-09ed-4086-8f54-cb621d76d9be"/>
    <ds:schemaRef ds:uri="958c4226-59ef-4f76-acde-a933602994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44002-4D7C-4FB1-BE42-90E0DA5874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0566BF-4EEF-4EAB-8C9C-78DB430D54FB}">
  <ds:schemaRefs>
    <ds:schemaRef ds:uri="187fb718-09ed-4086-8f54-cb621d76d9b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958c4226-59ef-4f76-acde-a9336029946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dates</vt:lpstr>
      <vt:lpstr>Schedule with Links</vt:lpstr>
      <vt:lpstr>SP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Sohail</dc:creator>
  <cp:keywords/>
  <dc:description/>
  <cp:lastModifiedBy>Aun Abdullah</cp:lastModifiedBy>
  <cp:revision/>
  <dcterms:created xsi:type="dcterms:W3CDTF">2024-03-19T09:36:10Z</dcterms:created>
  <dcterms:modified xsi:type="dcterms:W3CDTF">2025-07-09T10:25:19Z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0x010100B3CE467D31312D48872F3959FF6A9D0D</vt:lpwstr>
  </property>
  <property fmtid="{D5CDD505-2E9C-101B-9397-08002B2CF9AE}" pid="3" name="MediaServiceImageTags">
    <vt:lpwstr/>
  </property>
</Properties>
</file>